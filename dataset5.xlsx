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Personal\Desktop\project file\"/>
    </mc:Choice>
  </mc:AlternateContent>
  <xr:revisionPtr revIDLastSave="0" documentId="13_ncr:1_{6FF91570-76A5-4838-A28D-5361E0DF15B0}" xr6:coauthVersionLast="47" xr6:coauthVersionMax="47" xr10:uidLastSave="{00000000-0000-0000-0000-000000000000}"/>
  <bookViews>
    <workbookView xWindow="-120" yWindow="-120" windowWidth="20730" windowHeight="11160" xr2:uid="{DBB89E5C-E7CF-4F29-A605-8503DF28F275}"/>
  </bookViews>
  <sheets>
    <sheet name="dataset" sheetId="3" r:id="rId1"/>
    <sheet name="PIVOT CHARTS" sheetId="5" r:id="rId2"/>
    <sheet name="DETAILED ANALYSIS" sheetId="6" r:id="rId3"/>
    <sheet name="DASHBOARD" sheetId="7" r:id="rId4"/>
  </sheets>
  <definedNames>
    <definedName name="ExternalData_1" localSheetId="0" hidden="1">dataset!$A$1:$O$1393</definedName>
    <definedName name="Slicer_dteday">#N/A</definedName>
    <definedName name="Slicer_holiday">#N/A</definedName>
    <definedName name="Slicer_mnth">#N/A</definedName>
    <definedName name="Slicer_weathersit">#N/A</definedName>
    <definedName name="Slicer_weekda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4" i="3" l="1"/>
  <c r="M1394" i="3"/>
  <c r="N1394" i="3"/>
  <c r="O1394" i="3"/>
  <c r="K1394" i="3"/>
  <c r="J1394" i="3"/>
  <c r="I1394" i="3"/>
  <c r="N1003" i="3"/>
  <c r="O1003" i="3"/>
  <c r="M1003" i="3"/>
  <c r="K1003" i="3"/>
  <c r="J1003" i="3"/>
  <c r="I1003" i="3"/>
  <c r="L977" i="3"/>
  <c r="L968" i="3"/>
  <c r="L950" i="3"/>
  <c r="L949" i="3"/>
  <c r="L948" i="3"/>
  <c r="L946" i="3"/>
  <c r="L942" i="3"/>
  <c r="L941" i="3"/>
  <c r="L940" i="3"/>
  <c r="L930" i="3"/>
  <c r="L929" i="3"/>
  <c r="L923" i="3"/>
  <c r="L922" i="3"/>
  <c r="L888" i="3"/>
  <c r="L886" i="3"/>
  <c r="L884" i="3"/>
  <c r="L856" i="3"/>
  <c r="L855" i="3"/>
  <c r="L854" i="3"/>
  <c r="L852" i="3"/>
  <c r="L850" i="3"/>
  <c r="L843" i="3"/>
  <c r="L840" i="3"/>
  <c r="L839" i="3"/>
  <c r="L838" i="3"/>
  <c r="L837" i="3"/>
  <c r="L836" i="3"/>
  <c r="L835" i="3"/>
  <c r="L834" i="3"/>
  <c r="L833" i="3"/>
  <c r="L832" i="3"/>
  <c r="L831" i="3"/>
  <c r="L830" i="3"/>
  <c r="L829" i="3"/>
  <c r="L828" i="3"/>
  <c r="L824" i="3"/>
  <c r="L820" i="3"/>
  <c r="L819" i="3"/>
  <c r="L798" i="3"/>
  <c r="L797" i="3"/>
  <c r="L789" i="3"/>
  <c r="L766" i="3"/>
  <c r="L765" i="3"/>
  <c r="L761" i="3"/>
  <c r="L760" i="3"/>
  <c r="L755" i="3"/>
  <c r="L723" i="3"/>
  <c r="L706" i="3"/>
  <c r="L704" i="3"/>
  <c r="L702" i="3"/>
  <c r="L701" i="3"/>
  <c r="L700" i="3"/>
  <c r="L699" i="3"/>
  <c r="L698" i="3"/>
  <c r="L697" i="3"/>
  <c r="L696" i="3"/>
  <c r="L695" i="3"/>
  <c r="L694" i="3"/>
  <c r="L693" i="3"/>
  <c r="L692" i="3"/>
  <c r="L679" i="3"/>
  <c r="L658" i="3"/>
  <c r="L657" i="3"/>
  <c r="L653" i="3"/>
  <c r="L652" i="3"/>
  <c r="L651" i="3"/>
  <c r="L650" i="3"/>
  <c r="L649" i="3"/>
  <c r="L648" i="3"/>
  <c r="L647" i="3"/>
  <c r="L646" i="3"/>
  <c r="L645" i="3"/>
  <c r="L644" i="3"/>
  <c r="L636" i="3"/>
  <c r="L612" i="3"/>
  <c r="L1003" i="3" l="1"/>
  <c r="L139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621511-FA12-439C-BD7B-F6655DC7D959}" keepAlive="1" name="Query - New folder" description="Connection to the 'New folder' query in the workbook." type="5" refreshedVersion="0" background="1">
    <dbPr connection="Provider=Microsoft.Mashup.OleDb.1;Data Source=$Workbook$;Location=&quot;New folder&quot;;Extended Properties=&quot;&quot;" command="SELECT * FROM [New folder]"/>
  </connection>
  <connection id="2" xr16:uid="{75FB05D9-9D07-449E-BB5F-59849E7929EB}" keepAlive="1" name="Query - New folder (2)" description="Connection to the 'New folder (2)' query in the workbook." type="5" refreshedVersion="7" background="1" saveData="1">
    <dbPr connection="Provider=Microsoft.Mashup.OleDb.1;Data Source=$Workbook$;Location=&quot;New folder (2)&quot;;Extended Properties=&quot;&quot;" command="SELECT * FROM [New folder (2)]"/>
  </connection>
</connections>
</file>

<file path=xl/sharedStrings.xml><?xml version="1.0" encoding="utf-8"?>
<sst xmlns="http://schemas.openxmlformats.org/spreadsheetml/2006/main" count="101" uniqueCount="82">
  <si>
    <t>instant</t>
  </si>
  <si>
    <t>dteday</t>
  </si>
  <si>
    <t>season</t>
  </si>
  <si>
    <t>mnth</t>
  </si>
  <si>
    <t>hr</t>
  </si>
  <si>
    <t>holiday</t>
  </si>
  <si>
    <t>weekday</t>
  </si>
  <si>
    <t>weathersit</t>
  </si>
  <si>
    <t>temp</t>
  </si>
  <si>
    <t>atemp</t>
  </si>
  <si>
    <t>hum</t>
  </si>
  <si>
    <t>windspeed</t>
  </si>
  <si>
    <t>casual</t>
  </si>
  <si>
    <t>registered</t>
  </si>
  <si>
    <t>cnt</t>
  </si>
  <si>
    <t>Sum of mnth</t>
  </si>
  <si>
    <t>Row Labels</t>
  </si>
  <si>
    <t>Grand Total</t>
  </si>
  <si>
    <t>(All)</t>
  </si>
  <si>
    <t>FALSE</t>
  </si>
  <si>
    <t>Sum of atemp</t>
  </si>
  <si>
    <t>Sum of cnt</t>
  </si>
  <si>
    <t>Sum of weekday</t>
  </si>
  <si>
    <t>Sum of casual</t>
  </si>
  <si>
    <t>Sum of registered</t>
  </si>
  <si>
    <t>Jan</t>
  </si>
  <si>
    <t>01-Jan</t>
  </si>
  <si>
    <t>02-Jan</t>
  </si>
  <si>
    <t>03-Jan</t>
  </si>
  <si>
    <t>04-Jan</t>
  </si>
  <si>
    <t>05-Jan</t>
  </si>
  <si>
    <t>06-Jan</t>
  </si>
  <si>
    <t>07-Jan</t>
  </si>
  <si>
    <t>08-Jan</t>
  </si>
  <si>
    <t>09-Jan</t>
  </si>
  <si>
    <t>10-Jan</t>
  </si>
  <si>
    <t>11-Jan</t>
  </si>
  <si>
    <t>12-Jan</t>
  </si>
  <si>
    <t>13-Jan</t>
  </si>
  <si>
    <t>14-Jan</t>
  </si>
  <si>
    <t>15-Jan</t>
  </si>
  <si>
    <t>16-Jan</t>
  </si>
  <si>
    <t>18-Jan</t>
  </si>
  <si>
    <t>19-Jan</t>
  </si>
  <si>
    <t>20-Jan</t>
  </si>
  <si>
    <t>21-Jan</t>
  </si>
  <si>
    <t>22-Jan</t>
  </si>
  <si>
    <t>23-Jan</t>
  </si>
  <si>
    <t>24-Jan</t>
  </si>
  <si>
    <t>25-Jan</t>
  </si>
  <si>
    <t>26-Jan</t>
  </si>
  <si>
    <t>27-Jan</t>
  </si>
  <si>
    <t>28-Jan</t>
  </si>
  <si>
    <t>29-Jan</t>
  </si>
  <si>
    <t>30-Jan</t>
  </si>
  <si>
    <t>31-Jan</t>
  </si>
  <si>
    <t>Feb</t>
  </si>
  <si>
    <t>01-Feb</t>
  </si>
  <si>
    <t>02-Feb</t>
  </si>
  <si>
    <t>03-Feb</t>
  </si>
  <si>
    <t>04-Feb</t>
  </si>
  <si>
    <t>05-Feb</t>
  </si>
  <si>
    <t>06-Feb</t>
  </si>
  <si>
    <t>07-Feb</t>
  </si>
  <si>
    <t>08-Feb</t>
  </si>
  <si>
    <t>09-Feb</t>
  </si>
  <si>
    <t>10-Feb</t>
  </si>
  <si>
    <t>11-Feb</t>
  </si>
  <si>
    <t>12-Feb</t>
  </si>
  <si>
    <t>13-Feb</t>
  </si>
  <si>
    <t>14-Feb</t>
  </si>
  <si>
    <t>Day-wise bike sharing ratio &amp; weather predition</t>
  </si>
  <si>
    <t>Sum of hum</t>
  </si>
  <si>
    <t>Average of hum</t>
  </si>
  <si>
    <t>HUMIDITY AND TOTAL COUNT</t>
  </si>
  <si>
    <t>Sum of weathersit</t>
  </si>
  <si>
    <t>Sum of temp</t>
  </si>
  <si>
    <t>Sum of windspeed</t>
  </si>
  <si>
    <t>No.of bike sharing ratio by weekday &amp; holiday</t>
  </si>
  <si>
    <t>TRUE</t>
  </si>
  <si>
    <t>17-Jan</t>
  </si>
  <si>
    <t>VLOOKUP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</si>
</sst>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color theme="1"/>
      <name val="Times New Roman"/>
      <family val="1"/>
    </font>
    <font>
      <sz val="12"/>
      <color theme="1"/>
      <name val="Times New Roman"/>
      <family val="1"/>
    </font>
    <font>
      <i/>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2" fillId="0" borderId="0" xfId="0" applyFont="1"/>
    <xf numFmtId="0" fontId="2" fillId="0" borderId="0" xfId="0" pivotButton="1" applyFont="1"/>
    <xf numFmtId="0" fontId="2" fillId="0" borderId="0" xfId="0" applyFont="1" applyAlignment="1">
      <alignment horizontal="left"/>
    </xf>
    <xf numFmtId="0" fontId="2" fillId="0" borderId="0" xfId="0" applyNumberFormat="1" applyFont="1"/>
    <xf numFmtId="0" fontId="2" fillId="0" borderId="0" xfId="0" applyFont="1" applyAlignment="1">
      <alignment horizontal="left" indent="1"/>
    </xf>
    <xf numFmtId="0" fontId="3" fillId="0" borderId="0" xfId="0" applyFont="1"/>
    <xf numFmtId="14" fontId="3" fillId="0" borderId="0" xfId="0" applyNumberFormat="1" applyFont="1"/>
    <xf numFmtId="0" fontId="1" fillId="2" borderId="0" xfId="0" applyFont="1" applyFill="1" applyAlignment="1">
      <alignment horizontal="center" vertical="center"/>
    </xf>
    <xf numFmtId="0" fontId="2" fillId="2" borderId="0" xfId="0" applyFont="1" applyFill="1" applyAlignment="1">
      <alignment horizontal="center" vertical="center"/>
    </xf>
    <xf numFmtId="0" fontId="4" fillId="0" borderId="0" xfId="0" applyFont="1"/>
  </cellXfs>
  <cellStyles count="1">
    <cellStyle name="Normal" xfId="0" builtinId="0"/>
  </cellStyles>
  <dxfs count="269">
    <dxf>
      <font>
        <b val="0"/>
        <i/>
        <strike val="0"/>
        <condense val="0"/>
        <extend val="0"/>
        <outline val="0"/>
        <shadow val="0"/>
        <u val="none"/>
        <vertAlign val="baseline"/>
        <sz val="11"/>
        <color theme="1"/>
        <name val="Calibri"/>
        <family val="2"/>
        <scheme val="minor"/>
      </font>
    </dxf>
    <dxf>
      <font>
        <b val="0"/>
        <i/>
        <strike val="0"/>
        <condense val="0"/>
        <extend val="0"/>
        <outline val="0"/>
        <shadow val="0"/>
        <u val="none"/>
        <vertAlign val="baseline"/>
        <sz val="11"/>
        <color theme="1"/>
        <name val="Calibri"/>
        <family val="2"/>
        <scheme val="minor"/>
      </font>
    </dxf>
    <dxf>
      <font>
        <b val="0"/>
        <i/>
        <strike val="0"/>
        <condense val="0"/>
        <extend val="0"/>
        <outline val="0"/>
        <shadow val="0"/>
        <u val="none"/>
        <vertAlign val="baseline"/>
        <sz val="11"/>
        <color theme="1"/>
        <name val="Calibri"/>
        <family val="2"/>
        <scheme val="minor"/>
      </font>
    </dxf>
    <dxf>
      <font>
        <b val="0"/>
        <i/>
        <strike val="0"/>
        <condense val="0"/>
        <extend val="0"/>
        <outline val="0"/>
        <shadow val="0"/>
        <u val="none"/>
        <vertAlign val="baseline"/>
        <sz val="11"/>
        <color theme="1"/>
        <name val="Calibri"/>
        <family val="2"/>
        <scheme val="minor"/>
      </font>
    </dxf>
    <dxf>
      <font>
        <b val="0"/>
        <i/>
        <strike val="0"/>
        <condense val="0"/>
        <extend val="0"/>
        <outline val="0"/>
        <shadow val="0"/>
        <u val="none"/>
        <vertAlign val="baseline"/>
        <sz val="11"/>
        <color theme="1"/>
        <name val="Calibri"/>
        <family val="2"/>
        <scheme val="minor"/>
      </font>
    </dxf>
    <dxf>
      <font>
        <b val="0"/>
        <i/>
        <strike val="0"/>
        <condense val="0"/>
        <extend val="0"/>
        <outline val="0"/>
        <shadow val="0"/>
        <u val="none"/>
        <vertAlign val="baseline"/>
        <sz val="11"/>
        <color theme="1"/>
        <name val="Calibri"/>
        <family val="2"/>
        <scheme val="minor"/>
      </font>
    </dxf>
    <dxf>
      <font>
        <b val="0"/>
        <i/>
        <strike val="0"/>
        <condense val="0"/>
        <extend val="0"/>
        <outline val="0"/>
        <shadow val="0"/>
        <u val="none"/>
        <vertAlign val="baseline"/>
        <sz val="11"/>
        <color theme="1"/>
        <name val="Calibri"/>
        <family val="2"/>
        <scheme val="minor"/>
      </font>
    </dxf>
    <dxf>
      <font>
        <b val="0"/>
        <i/>
        <strike val="0"/>
        <condense val="0"/>
        <extend val="0"/>
        <outline val="0"/>
        <shadow val="0"/>
        <u val="none"/>
        <vertAlign val="baseline"/>
        <sz val="11"/>
        <color theme="1"/>
        <name val="Calibri"/>
        <family val="2"/>
        <scheme val="minor"/>
      </font>
    </dxf>
    <dxf>
      <font>
        <b val="0"/>
        <i/>
        <strike val="0"/>
        <condense val="0"/>
        <extend val="0"/>
        <outline val="0"/>
        <shadow val="0"/>
        <u val="none"/>
        <vertAlign val="baseline"/>
        <sz val="11"/>
        <color theme="1"/>
        <name val="Calibri"/>
        <family val="2"/>
        <scheme val="minor"/>
      </font>
    </dxf>
    <dxf>
      <font>
        <b val="0"/>
        <i/>
        <strike val="0"/>
        <condense val="0"/>
        <extend val="0"/>
        <outline val="0"/>
        <shadow val="0"/>
        <u val="none"/>
        <vertAlign val="baseline"/>
        <sz val="11"/>
        <color theme="1"/>
        <name val="Calibri"/>
        <family val="2"/>
        <scheme val="minor"/>
      </font>
    </dxf>
    <dxf>
      <font>
        <b val="0"/>
        <i/>
        <strike val="0"/>
        <condense val="0"/>
        <extend val="0"/>
        <outline val="0"/>
        <shadow val="0"/>
        <u val="none"/>
        <vertAlign val="baseline"/>
        <sz val="11"/>
        <color theme="1"/>
        <name val="Calibri"/>
        <family val="2"/>
        <scheme val="minor"/>
      </font>
    </dxf>
    <dxf>
      <font>
        <b val="0"/>
        <i/>
        <strike val="0"/>
        <condense val="0"/>
        <extend val="0"/>
        <outline val="0"/>
        <shadow val="0"/>
        <u val="none"/>
        <vertAlign val="baseline"/>
        <sz val="11"/>
        <color theme="1"/>
        <name val="Calibri"/>
        <family val="2"/>
        <scheme val="minor"/>
      </font>
    </dxf>
    <dxf>
      <font>
        <b val="0"/>
        <i/>
        <strike val="0"/>
        <condense val="0"/>
        <extend val="0"/>
        <outline val="0"/>
        <shadow val="0"/>
        <u val="none"/>
        <vertAlign val="baseline"/>
        <sz val="11"/>
        <color theme="1"/>
        <name val="Calibri"/>
        <family val="2"/>
        <scheme val="minor"/>
      </font>
    </dxf>
    <dxf>
      <numFmt numFmtId="19" formatCode="dd/mm/yyyy"/>
    </dxf>
    <dxf>
      <font>
        <b val="0"/>
        <i/>
        <strike val="0"/>
        <condense val="0"/>
        <extend val="0"/>
        <outline val="0"/>
        <shadow val="0"/>
        <u val="none"/>
        <vertAlign val="baseline"/>
        <sz val="11"/>
        <color theme="1"/>
        <name val="Calibri"/>
        <family val="2"/>
        <scheme val="minor"/>
      </font>
      <numFmt numFmtId="19" formatCode="dd/mm/yyyy"/>
    </dxf>
    <dxf>
      <font>
        <b val="0"/>
        <i/>
        <strike val="0"/>
        <condense val="0"/>
        <extend val="0"/>
        <outline val="0"/>
        <shadow val="0"/>
        <u val="none"/>
        <vertAlign val="baseline"/>
        <sz val="11"/>
        <color theme="1"/>
        <name val="Calibri"/>
        <family val="2"/>
        <scheme val="minor"/>
      </font>
    </dxf>
    <dxf>
      <font>
        <i/>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CHARTS!PivotTable2</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698"/>
          <c:y val="0.15175707203266259"/>
          <c:w val="0.61962226596675418"/>
          <c:h val="0.58122411781860606"/>
        </c:manualLayout>
      </c:layout>
      <c:barChart>
        <c:barDir val="col"/>
        <c:grouping val="clustered"/>
        <c:varyColors val="0"/>
        <c:ser>
          <c:idx val="0"/>
          <c:order val="0"/>
          <c:tx>
            <c:strRef>
              <c:f>'PIVOT CHARTS'!$B$4</c:f>
              <c:strCache>
                <c:ptCount val="1"/>
                <c:pt idx="0">
                  <c:v>Sum of mnth</c:v>
                </c:pt>
              </c:strCache>
            </c:strRef>
          </c:tx>
          <c:spPr>
            <a:solidFill>
              <a:schemeClr val="accent1"/>
            </a:solidFill>
            <a:ln>
              <a:noFill/>
            </a:ln>
            <a:effectLst/>
          </c:spPr>
          <c:invertIfNegative val="0"/>
          <c:cat>
            <c:multiLvlStrRef>
              <c:f>'PIVOT CHARTS'!$A$5:$A$10</c:f>
              <c:multiLvlStrCache>
                <c:ptCount val="3"/>
                <c:lvl>
                  <c:pt idx="0">
                    <c:v>1</c:v>
                  </c:pt>
                  <c:pt idx="1">
                    <c:v>2</c:v>
                  </c:pt>
                  <c:pt idx="2">
                    <c:v>1</c:v>
                  </c:pt>
                </c:lvl>
                <c:lvl>
                  <c:pt idx="0">
                    <c:v>FALSE</c:v>
                  </c:pt>
                  <c:pt idx="2">
                    <c:v>TRUE</c:v>
                  </c:pt>
                </c:lvl>
              </c:multiLvlStrCache>
            </c:multiLvlStrRef>
          </c:cat>
          <c:val>
            <c:numRef>
              <c:f>'PIVOT CHARTS'!$B$5:$B$10</c:f>
              <c:numCache>
                <c:formatCode>General</c:formatCode>
                <c:ptCount val="3"/>
                <c:pt idx="0">
                  <c:v>664</c:v>
                </c:pt>
                <c:pt idx="1">
                  <c:v>624</c:v>
                </c:pt>
                <c:pt idx="2">
                  <c:v>24</c:v>
                </c:pt>
              </c:numCache>
            </c:numRef>
          </c:val>
          <c:extLst>
            <c:ext xmlns:c16="http://schemas.microsoft.com/office/drawing/2014/chart" uri="{C3380CC4-5D6E-409C-BE32-E72D297353CC}">
              <c16:uniqueId val="{00000000-2576-4B9D-A4F8-A6D262E35B32}"/>
            </c:ext>
          </c:extLst>
        </c:ser>
        <c:ser>
          <c:idx val="1"/>
          <c:order val="1"/>
          <c:tx>
            <c:strRef>
              <c:f>'PIVOT CHARTS'!$C$4</c:f>
              <c:strCache>
                <c:ptCount val="1"/>
                <c:pt idx="0">
                  <c:v>Sum of weekday</c:v>
                </c:pt>
              </c:strCache>
            </c:strRef>
          </c:tx>
          <c:spPr>
            <a:solidFill>
              <a:schemeClr val="accent2"/>
            </a:solidFill>
            <a:ln>
              <a:noFill/>
            </a:ln>
            <a:effectLst/>
          </c:spPr>
          <c:invertIfNegative val="0"/>
          <c:cat>
            <c:multiLvlStrRef>
              <c:f>'PIVOT CHARTS'!$A$5:$A$10</c:f>
              <c:multiLvlStrCache>
                <c:ptCount val="3"/>
                <c:lvl>
                  <c:pt idx="0">
                    <c:v>1</c:v>
                  </c:pt>
                  <c:pt idx="1">
                    <c:v>2</c:v>
                  </c:pt>
                  <c:pt idx="2">
                    <c:v>1</c:v>
                  </c:pt>
                </c:lvl>
                <c:lvl>
                  <c:pt idx="0">
                    <c:v>FALSE</c:v>
                  </c:pt>
                  <c:pt idx="2">
                    <c:v>TRUE</c:v>
                  </c:pt>
                </c:lvl>
              </c:multiLvlStrCache>
            </c:multiLvlStrRef>
          </c:cat>
          <c:val>
            <c:numRef>
              <c:f>'PIVOT CHARTS'!$C$5:$C$10</c:f>
              <c:numCache>
                <c:formatCode>General</c:formatCode>
                <c:ptCount val="3"/>
                <c:pt idx="0">
                  <c:v>1994</c:v>
                </c:pt>
                <c:pt idx="1">
                  <c:v>964</c:v>
                </c:pt>
                <c:pt idx="2">
                  <c:v>24</c:v>
                </c:pt>
              </c:numCache>
            </c:numRef>
          </c:val>
          <c:extLst>
            <c:ext xmlns:c16="http://schemas.microsoft.com/office/drawing/2014/chart" uri="{C3380CC4-5D6E-409C-BE32-E72D297353CC}">
              <c16:uniqueId val="{00000001-2576-4B9D-A4F8-A6D262E35B32}"/>
            </c:ext>
          </c:extLst>
        </c:ser>
        <c:ser>
          <c:idx val="2"/>
          <c:order val="2"/>
          <c:tx>
            <c:strRef>
              <c:f>'PIVOT CHARTS'!$D$4</c:f>
              <c:strCache>
                <c:ptCount val="1"/>
                <c:pt idx="0">
                  <c:v>Sum of casual</c:v>
                </c:pt>
              </c:strCache>
            </c:strRef>
          </c:tx>
          <c:spPr>
            <a:solidFill>
              <a:schemeClr val="accent3"/>
            </a:solidFill>
            <a:ln>
              <a:noFill/>
            </a:ln>
            <a:effectLst/>
          </c:spPr>
          <c:invertIfNegative val="0"/>
          <c:cat>
            <c:multiLvlStrRef>
              <c:f>'PIVOT CHARTS'!$A$5:$A$10</c:f>
              <c:multiLvlStrCache>
                <c:ptCount val="3"/>
                <c:lvl>
                  <c:pt idx="0">
                    <c:v>1</c:v>
                  </c:pt>
                  <c:pt idx="1">
                    <c:v>2</c:v>
                  </c:pt>
                  <c:pt idx="2">
                    <c:v>1</c:v>
                  </c:pt>
                </c:lvl>
                <c:lvl>
                  <c:pt idx="0">
                    <c:v>FALSE</c:v>
                  </c:pt>
                  <c:pt idx="2">
                    <c:v>TRUE</c:v>
                  </c:pt>
                </c:lvl>
              </c:multiLvlStrCache>
            </c:multiLvlStrRef>
          </c:cat>
          <c:val>
            <c:numRef>
              <c:f>'PIVOT CHARTS'!$D$5:$D$10</c:f>
              <c:numCache>
                <c:formatCode>General</c:formatCode>
                <c:ptCount val="3"/>
                <c:pt idx="0">
                  <c:v>2956</c:v>
                </c:pt>
                <c:pt idx="1">
                  <c:v>1848</c:v>
                </c:pt>
                <c:pt idx="2">
                  <c:v>117</c:v>
                </c:pt>
              </c:numCache>
            </c:numRef>
          </c:val>
          <c:extLst>
            <c:ext xmlns:c16="http://schemas.microsoft.com/office/drawing/2014/chart" uri="{C3380CC4-5D6E-409C-BE32-E72D297353CC}">
              <c16:uniqueId val="{00000002-2576-4B9D-A4F8-A6D262E35B32}"/>
            </c:ext>
          </c:extLst>
        </c:ser>
        <c:ser>
          <c:idx val="3"/>
          <c:order val="3"/>
          <c:tx>
            <c:strRef>
              <c:f>'PIVOT CHARTS'!$E$4</c:f>
              <c:strCache>
                <c:ptCount val="1"/>
                <c:pt idx="0">
                  <c:v>Sum of registered</c:v>
                </c:pt>
              </c:strCache>
            </c:strRef>
          </c:tx>
          <c:spPr>
            <a:solidFill>
              <a:schemeClr val="accent4"/>
            </a:solidFill>
            <a:ln>
              <a:noFill/>
            </a:ln>
            <a:effectLst/>
          </c:spPr>
          <c:invertIfNegative val="0"/>
          <c:cat>
            <c:multiLvlStrRef>
              <c:f>'PIVOT CHARTS'!$A$5:$A$10</c:f>
              <c:multiLvlStrCache>
                <c:ptCount val="3"/>
                <c:lvl>
                  <c:pt idx="0">
                    <c:v>1</c:v>
                  </c:pt>
                  <c:pt idx="1">
                    <c:v>2</c:v>
                  </c:pt>
                  <c:pt idx="2">
                    <c:v>1</c:v>
                  </c:pt>
                </c:lvl>
                <c:lvl>
                  <c:pt idx="0">
                    <c:v>FALSE</c:v>
                  </c:pt>
                  <c:pt idx="2">
                    <c:v>TRUE</c:v>
                  </c:pt>
                </c:lvl>
              </c:multiLvlStrCache>
            </c:multiLvlStrRef>
          </c:cat>
          <c:val>
            <c:numRef>
              <c:f>'PIVOT CHARTS'!$E$5:$E$10</c:f>
              <c:numCache>
                <c:formatCode>General</c:formatCode>
                <c:ptCount val="3"/>
                <c:pt idx="0">
                  <c:v>34233</c:v>
                </c:pt>
                <c:pt idx="1">
                  <c:v>18267</c:v>
                </c:pt>
                <c:pt idx="2">
                  <c:v>883</c:v>
                </c:pt>
              </c:numCache>
            </c:numRef>
          </c:val>
          <c:extLst>
            <c:ext xmlns:c16="http://schemas.microsoft.com/office/drawing/2014/chart" uri="{C3380CC4-5D6E-409C-BE32-E72D297353CC}">
              <c16:uniqueId val="{00000003-2576-4B9D-A4F8-A6D262E35B32}"/>
            </c:ext>
          </c:extLst>
        </c:ser>
        <c:ser>
          <c:idx val="4"/>
          <c:order val="4"/>
          <c:tx>
            <c:strRef>
              <c:f>'PIVOT CHARTS'!$F$4</c:f>
              <c:strCache>
                <c:ptCount val="1"/>
                <c:pt idx="0">
                  <c:v>Sum of cnt</c:v>
                </c:pt>
              </c:strCache>
            </c:strRef>
          </c:tx>
          <c:spPr>
            <a:solidFill>
              <a:schemeClr val="accent5"/>
            </a:solidFill>
            <a:ln>
              <a:noFill/>
            </a:ln>
            <a:effectLst/>
          </c:spPr>
          <c:invertIfNegative val="0"/>
          <c:cat>
            <c:multiLvlStrRef>
              <c:f>'PIVOT CHARTS'!$A$5:$A$10</c:f>
              <c:multiLvlStrCache>
                <c:ptCount val="3"/>
                <c:lvl>
                  <c:pt idx="0">
                    <c:v>1</c:v>
                  </c:pt>
                  <c:pt idx="1">
                    <c:v>2</c:v>
                  </c:pt>
                  <c:pt idx="2">
                    <c:v>1</c:v>
                  </c:pt>
                </c:lvl>
                <c:lvl>
                  <c:pt idx="0">
                    <c:v>FALSE</c:v>
                  </c:pt>
                  <c:pt idx="2">
                    <c:v>TRUE</c:v>
                  </c:pt>
                </c:lvl>
              </c:multiLvlStrCache>
            </c:multiLvlStrRef>
          </c:cat>
          <c:val>
            <c:numRef>
              <c:f>'PIVOT CHARTS'!$F$5:$F$10</c:f>
              <c:numCache>
                <c:formatCode>General</c:formatCode>
                <c:ptCount val="3"/>
                <c:pt idx="0">
                  <c:v>37189</c:v>
                </c:pt>
                <c:pt idx="1">
                  <c:v>20115</c:v>
                </c:pt>
                <c:pt idx="2">
                  <c:v>1000</c:v>
                </c:pt>
              </c:numCache>
            </c:numRef>
          </c:val>
          <c:extLst>
            <c:ext xmlns:c16="http://schemas.microsoft.com/office/drawing/2014/chart" uri="{C3380CC4-5D6E-409C-BE32-E72D297353CC}">
              <c16:uniqueId val="{00000004-2576-4B9D-A4F8-A6D262E35B32}"/>
            </c:ext>
          </c:extLst>
        </c:ser>
        <c:dLbls>
          <c:showLegendKey val="0"/>
          <c:showVal val="0"/>
          <c:showCatName val="0"/>
          <c:showSerName val="0"/>
          <c:showPercent val="0"/>
          <c:showBubbleSize val="0"/>
        </c:dLbls>
        <c:gapWidth val="150"/>
        <c:axId val="1718680816"/>
        <c:axId val="1718679984"/>
      </c:barChart>
      <c:catAx>
        <c:axId val="171868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679984"/>
        <c:crosses val="autoZero"/>
        <c:auto val="1"/>
        <c:lblAlgn val="ctr"/>
        <c:lblOffset val="100"/>
        <c:noMultiLvlLbl val="0"/>
      </c:catAx>
      <c:valAx>
        <c:axId val="1718679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68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CHARTS!PivotTable3</c:name>
    <c:fmtId val="4"/>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CHARTS'!$B$30</c:f>
              <c:strCache>
                <c:ptCount val="1"/>
                <c:pt idx="0">
                  <c:v>Sum of registered</c:v>
                </c:pt>
              </c:strCache>
            </c:strRef>
          </c:tx>
          <c:spPr>
            <a:solidFill>
              <a:schemeClr val="accent1"/>
            </a:solidFill>
            <a:ln>
              <a:noFill/>
            </a:ln>
            <a:effectLst/>
            <a:sp3d/>
          </c:spPr>
          <c:invertIfNegative val="0"/>
          <c:cat>
            <c:strRef>
              <c:f>'PIVOT CHARTS'!$A$31:$A$76</c:f>
              <c:strCache>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Cache>
            </c:strRef>
          </c:cat>
          <c:val>
            <c:numRef>
              <c:f>'PIVOT CHARTS'!$B$31:$B$76</c:f>
              <c:numCache>
                <c:formatCode>General</c:formatCode>
                <c:ptCount val="45"/>
                <c:pt idx="0">
                  <c:v>654</c:v>
                </c:pt>
                <c:pt idx="1">
                  <c:v>670</c:v>
                </c:pt>
                <c:pt idx="2">
                  <c:v>1229</c:v>
                </c:pt>
                <c:pt idx="3">
                  <c:v>1454</c:v>
                </c:pt>
                <c:pt idx="4">
                  <c:v>1518</c:v>
                </c:pt>
                <c:pt idx="5">
                  <c:v>1518</c:v>
                </c:pt>
                <c:pt idx="6">
                  <c:v>1362</c:v>
                </c:pt>
                <c:pt idx="7">
                  <c:v>891</c:v>
                </c:pt>
                <c:pt idx="8">
                  <c:v>768</c:v>
                </c:pt>
                <c:pt idx="9">
                  <c:v>1280</c:v>
                </c:pt>
                <c:pt idx="10">
                  <c:v>1220</c:v>
                </c:pt>
                <c:pt idx="11">
                  <c:v>1137</c:v>
                </c:pt>
                <c:pt idx="12">
                  <c:v>1368</c:v>
                </c:pt>
                <c:pt idx="13">
                  <c:v>1367</c:v>
                </c:pt>
                <c:pt idx="14">
                  <c:v>1026</c:v>
                </c:pt>
                <c:pt idx="15">
                  <c:v>953</c:v>
                </c:pt>
                <c:pt idx="16">
                  <c:v>883</c:v>
                </c:pt>
                <c:pt idx="17">
                  <c:v>674</c:v>
                </c:pt>
                <c:pt idx="18">
                  <c:v>1572</c:v>
                </c:pt>
                <c:pt idx="19">
                  <c:v>1844</c:v>
                </c:pt>
                <c:pt idx="20">
                  <c:v>1468</c:v>
                </c:pt>
                <c:pt idx="21">
                  <c:v>888</c:v>
                </c:pt>
                <c:pt idx="22">
                  <c:v>836</c:v>
                </c:pt>
                <c:pt idx="23">
                  <c:v>1330</c:v>
                </c:pt>
                <c:pt idx="24">
                  <c:v>1799</c:v>
                </c:pt>
                <c:pt idx="25">
                  <c:v>472</c:v>
                </c:pt>
                <c:pt idx="26">
                  <c:v>416</c:v>
                </c:pt>
                <c:pt idx="27">
                  <c:v>1129</c:v>
                </c:pt>
                <c:pt idx="28">
                  <c:v>975</c:v>
                </c:pt>
                <c:pt idx="29">
                  <c:v>956</c:v>
                </c:pt>
                <c:pt idx="30">
                  <c:v>1459</c:v>
                </c:pt>
                <c:pt idx="31">
                  <c:v>1313</c:v>
                </c:pt>
                <c:pt idx="32">
                  <c:v>1454</c:v>
                </c:pt>
                <c:pt idx="33">
                  <c:v>1489</c:v>
                </c:pt>
                <c:pt idx="34">
                  <c:v>1620</c:v>
                </c:pt>
                <c:pt idx="35">
                  <c:v>905</c:v>
                </c:pt>
                <c:pt idx="36">
                  <c:v>1269</c:v>
                </c:pt>
                <c:pt idx="37">
                  <c:v>1592</c:v>
                </c:pt>
                <c:pt idx="38">
                  <c:v>1466</c:v>
                </c:pt>
                <c:pt idx="39">
                  <c:v>1552</c:v>
                </c:pt>
                <c:pt idx="40">
                  <c:v>1491</c:v>
                </c:pt>
                <c:pt idx="41">
                  <c:v>1597</c:v>
                </c:pt>
                <c:pt idx="42">
                  <c:v>1184</c:v>
                </c:pt>
                <c:pt idx="43">
                  <c:v>1192</c:v>
                </c:pt>
                <c:pt idx="44">
                  <c:v>143</c:v>
                </c:pt>
              </c:numCache>
            </c:numRef>
          </c:val>
          <c:extLst>
            <c:ext xmlns:c16="http://schemas.microsoft.com/office/drawing/2014/chart" uri="{C3380CC4-5D6E-409C-BE32-E72D297353CC}">
              <c16:uniqueId val="{00000000-A846-4B49-8DD3-D858BBCFD0C8}"/>
            </c:ext>
          </c:extLst>
        </c:ser>
        <c:ser>
          <c:idx val="1"/>
          <c:order val="1"/>
          <c:tx>
            <c:strRef>
              <c:f>'PIVOT CHARTS'!$C$30</c:f>
              <c:strCache>
                <c:ptCount val="1"/>
                <c:pt idx="0">
                  <c:v>Sum of casual</c:v>
                </c:pt>
              </c:strCache>
            </c:strRef>
          </c:tx>
          <c:spPr>
            <a:solidFill>
              <a:schemeClr val="accent2"/>
            </a:solidFill>
            <a:ln>
              <a:noFill/>
            </a:ln>
            <a:effectLst/>
            <a:sp3d/>
          </c:spPr>
          <c:invertIfNegative val="0"/>
          <c:cat>
            <c:strRef>
              <c:f>'PIVOT CHARTS'!$A$31:$A$76</c:f>
              <c:strCache>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Cache>
            </c:strRef>
          </c:cat>
          <c:val>
            <c:numRef>
              <c:f>'PIVOT CHARTS'!$C$31:$C$76</c:f>
              <c:numCache>
                <c:formatCode>General</c:formatCode>
                <c:ptCount val="45"/>
                <c:pt idx="0">
                  <c:v>331</c:v>
                </c:pt>
                <c:pt idx="1">
                  <c:v>131</c:v>
                </c:pt>
                <c:pt idx="2">
                  <c:v>120</c:v>
                </c:pt>
                <c:pt idx="3">
                  <c:v>108</c:v>
                </c:pt>
                <c:pt idx="4">
                  <c:v>82</c:v>
                </c:pt>
                <c:pt idx="5">
                  <c:v>88</c:v>
                </c:pt>
                <c:pt idx="6">
                  <c:v>148</c:v>
                </c:pt>
                <c:pt idx="7">
                  <c:v>68</c:v>
                </c:pt>
                <c:pt idx="8">
                  <c:v>54</c:v>
                </c:pt>
                <c:pt idx="9">
                  <c:v>41</c:v>
                </c:pt>
                <c:pt idx="10">
                  <c:v>43</c:v>
                </c:pt>
                <c:pt idx="11">
                  <c:v>25</c:v>
                </c:pt>
                <c:pt idx="12">
                  <c:v>38</c:v>
                </c:pt>
                <c:pt idx="13">
                  <c:v>54</c:v>
                </c:pt>
                <c:pt idx="14">
                  <c:v>222</c:v>
                </c:pt>
                <c:pt idx="15">
                  <c:v>251</c:v>
                </c:pt>
                <c:pt idx="16">
                  <c:v>117</c:v>
                </c:pt>
                <c:pt idx="17">
                  <c:v>9</c:v>
                </c:pt>
                <c:pt idx="18">
                  <c:v>78</c:v>
                </c:pt>
                <c:pt idx="19">
                  <c:v>83</c:v>
                </c:pt>
                <c:pt idx="20">
                  <c:v>75</c:v>
                </c:pt>
                <c:pt idx="21">
                  <c:v>93</c:v>
                </c:pt>
                <c:pt idx="22">
                  <c:v>150</c:v>
                </c:pt>
                <c:pt idx="23">
                  <c:v>86</c:v>
                </c:pt>
                <c:pt idx="24">
                  <c:v>186</c:v>
                </c:pt>
                <c:pt idx="25">
                  <c:v>34</c:v>
                </c:pt>
                <c:pt idx="26">
                  <c:v>15</c:v>
                </c:pt>
                <c:pt idx="27">
                  <c:v>38</c:v>
                </c:pt>
                <c:pt idx="28">
                  <c:v>123</c:v>
                </c:pt>
                <c:pt idx="29">
                  <c:v>140</c:v>
                </c:pt>
                <c:pt idx="30">
                  <c:v>42</c:v>
                </c:pt>
                <c:pt idx="31">
                  <c:v>47</c:v>
                </c:pt>
                <c:pt idx="32">
                  <c:v>72</c:v>
                </c:pt>
                <c:pt idx="33">
                  <c:v>61</c:v>
                </c:pt>
                <c:pt idx="34">
                  <c:v>88</c:v>
                </c:pt>
                <c:pt idx="35">
                  <c:v>100</c:v>
                </c:pt>
                <c:pt idx="36">
                  <c:v>354</c:v>
                </c:pt>
                <c:pt idx="37">
                  <c:v>120</c:v>
                </c:pt>
                <c:pt idx="38">
                  <c:v>64</c:v>
                </c:pt>
                <c:pt idx="39">
                  <c:v>53</c:v>
                </c:pt>
                <c:pt idx="40">
                  <c:v>47</c:v>
                </c:pt>
                <c:pt idx="41">
                  <c:v>149</c:v>
                </c:pt>
                <c:pt idx="42">
                  <c:v>288</c:v>
                </c:pt>
                <c:pt idx="43">
                  <c:v>397</c:v>
                </c:pt>
                <c:pt idx="44">
                  <c:v>8</c:v>
                </c:pt>
              </c:numCache>
            </c:numRef>
          </c:val>
          <c:extLst>
            <c:ext xmlns:c16="http://schemas.microsoft.com/office/drawing/2014/chart" uri="{C3380CC4-5D6E-409C-BE32-E72D297353CC}">
              <c16:uniqueId val="{00000001-A846-4B49-8DD3-D858BBCFD0C8}"/>
            </c:ext>
          </c:extLst>
        </c:ser>
        <c:ser>
          <c:idx val="2"/>
          <c:order val="2"/>
          <c:tx>
            <c:strRef>
              <c:f>'PIVOT CHARTS'!$D$30</c:f>
              <c:strCache>
                <c:ptCount val="1"/>
                <c:pt idx="0">
                  <c:v>Sum of atemp</c:v>
                </c:pt>
              </c:strCache>
            </c:strRef>
          </c:tx>
          <c:spPr>
            <a:solidFill>
              <a:schemeClr val="accent3"/>
            </a:solidFill>
            <a:ln>
              <a:noFill/>
            </a:ln>
            <a:effectLst/>
            <a:sp3d/>
          </c:spPr>
          <c:invertIfNegative val="0"/>
          <c:cat>
            <c:strRef>
              <c:f>'PIVOT CHARTS'!$A$31:$A$76</c:f>
              <c:strCache>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Cache>
            </c:strRef>
          </c:cat>
          <c:val>
            <c:numRef>
              <c:f>'PIVOT CHARTS'!$D$31:$D$76</c:f>
              <c:numCache>
                <c:formatCode>General</c:formatCode>
                <c:ptCount val="45"/>
                <c:pt idx="0">
                  <c:v>7.5452000000000012</c:v>
                </c:pt>
                <c:pt idx="1">
                  <c:v>6.6664000000000003</c:v>
                </c:pt>
                <c:pt idx="2">
                  <c:v>3.5608</c:v>
                </c:pt>
                <c:pt idx="3">
                  <c:v>4.6970000000000001</c:v>
                </c:pt>
                <c:pt idx="4">
                  <c:v>5.2732000000000001</c:v>
                </c:pt>
                <c:pt idx="5">
                  <c:v>5.3638000000000012</c:v>
                </c:pt>
                <c:pt idx="6">
                  <c:v>4.8033000000000001</c:v>
                </c:pt>
                <c:pt idx="7">
                  <c:v>3.8941000000000003</c:v>
                </c:pt>
                <c:pt idx="8">
                  <c:v>2.7882000000000007</c:v>
                </c:pt>
                <c:pt idx="9">
                  <c:v>3.6213000000000002</c:v>
                </c:pt>
                <c:pt idx="10">
                  <c:v>4.2122000000000002</c:v>
                </c:pt>
                <c:pt idx="11">
                  <c:v>3.5304000000000002</c:v>
                </c:pt>
                <c:pt idx="12">
                  <c:v>3.6212</c:v>
                </c:pt>
                <c:pt idx="13">
                  <c:v>4.3334999999999999</c:v>
                </c:pt>
                <c:pt idx="14">
                  <c:v>5.9546999999999999</c:v>
                </c:pt>
                <c:pt idx="15">
                  <c:v>5.6212000000000009</c:v>
                </c:pt>
                <c:pt idx="16">
                  <c:v>4.2425000000000006</c:v>
                </c:pt>
                <c:pt idx="17">
                  <c:v>2.7880000000000003</c:v>
                </c:pt>
                <c:pt idx="18">
                  <c:v>6.8637000000000006</c:v>
                </c:pt>
                <c:pt idx="19">
                  <c:v>6.1212</c:v>
                </c:pt>
                <c:pt idx="20">
                  <c:v>3.7880000000000003</c:v>
                </c:pt>
                <c:pt idx="21">
                  <c:v>1.8186000000000002</c:v>
                </c:pt>
                <c:pt idx="22">
                  <c:v>2.2733000000000003</c:v>
                </c:pt>
                <c:pt idx="23">
                  <c:v>2.7124000000000006</c:v>
                </c:pt>
                <c:pt idx="24">
                  <c:v>5.3940999999999981</c:v>
                </c:pt>
                <c:pt idx="25">
                  <c:v>3.2576000000000001</c:v>
                </c:pt>
                <c:pt idx="26">
                  <c:v>1.7576000000000001</c:v>
                </c:pt>
                <c:pt idx="27">
                  <c:v>5.1362999999999994</c:v>
                </c:pt>
                <c:pt idx="28">
                  <c:v>4.8789000000000016</c:v>
                </c:pt>
                <c:pt idx="29">
                  <c:v>5.7573999999999996</c:v>
                </c:pt>
                <c:pt idx="30">
                  <c:v>4.4700000000000006</c:v>
                </c:pt>
                <c:pt idx="31">
                  <c:v>5.3941999999999997</c:v>
                </c:pt>
                <c:pt idx="32">
                  <c:v>6.1059999999999999</c:v>
                </c:pt>
                <c:pt idx="33">
                  <c:v>4.0911999999999997</c:v>
                </c:pt>
                <c:pt idx="34">
                  <c:v>5.2574999999999994</c:v>
                </c:pt>
                <c:pt idx="35">
                  <c:v>5.8334000000000001</c:v>
                </c:pt>
                <c:pt idx="36">
                  <c:v>7.0000999999999971</c:v>
                </c:pt>
                <c:pt idx="37">
                  <c:v>7.2878000000000007</c:v>
                </c:pt>
                <c:pt idx="38">
                  <c:v>4.7578999999999994</c:v>
                </c:pt>
                <c:pt idx="39">
                  <c:v>3.3185000000000002</c:v>
                </c:pt>
                <c:pt idx="40">
                  <c:v>3.4396</c:v>
                </c:pt>
                <c:pt idx="41">
                  <c:v>4.6971999999999996</c:v>
                </c:pt>
                <c:pt idx="42">
                  <c:v>5.5908999999999995</c:v>
                </c:pt>
                <c:pt idx="43">
                  <c:v>7.4546000000000028</c:v>
                </c:pt>
                <c:pt idx="44">
                  <c:v>2.6513</c:v>
                </c:pt>
              </c:numCache>
            </c:numRef>
          </c:val>
          <c:extLst>
            <c:ext xmlns:c16="http://schemas.microsoft.com/office/drawing/2014/chart" uri="{C3380CC4-5D6E-409C-BE32-E72D297353CC}">
              <c16:uniqueId val="{00000002-A846-4B49-8DD3-D858BBCFD0C8}"/>
            </c:ext>
          </c:extLst>
        </c:ser>
        <c:dLbls>
          <c:showLegendKey val="0"/>
          <c:showVal val="0"/>
          <c:showCatName val="0"/>
          <c:showSerName val="0"/>
          <c:showPercent val="0"/>
          <c:showBubbleSize val="0"/>
        </c:dLbls>
        <c:gapWidth val="150"/>
        <c:shape val="box"/>
        <c:axId val="1072245008"/>
        <c:axId val="1072212976"/>
        <c:axId val="0"/>
      </c:bar3DChart>
      <c:catAx>
        <c:axId val="1072245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212976"/>
        <c:crosses val="autoZero"/>
        <c:auto val="1"/>
        <c:lblAlgn val="ctr"/>
        <c:lblOffset val="100"/>
        <c:noMultiLvlLbl val="0"/>
      </c:catAx>
      <c:valAx>
        <c:axId val="1072212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245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CHARTS!PivotTable4</c:name>
    <c:fmtId val="16"/>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CHARTS'!$B$81</c:f>
              <c:strCache>
                <c:ptCount val="1"/>
                <c:pt idx="0">
                  <c:v>Sum of cnt</c:v>
                </c:pt>
              </c:strCache>
            </c:strRef>
          </c:tx>
          <c:spPr>
            <a:solidFill>
              <a:schemeClr val="accent1"/>
            </a:solidFill>
            <a:ln>
              <a:noFill/>
            </a:ln>
            <a:effectLst/>
            <a:sp3d/>
          </c:spPr>
          <c:invertIfNegative val="0"/>
          <c:cat>
            <c:strRef>
              <c:f>'PIVOT CHARTS'!$A$82:$A$84</c:f>
              <c:strCache>
                <c:ptCount val="2"/>
                <c:pt idx="0">
                  <c:v>FALSE</c:v>
                </c:pt>
                <c:pt idx="1">
                  <c:v>TRUE</c:v>
                </c:pt>
              </c:strCache>
            </c:strRef>
          </c:cat>
          <c:val>
            <c:numRef>
              <c:f>'PIVOT CHARTS'!$B$82:$B$84</c:f>
              <c:numCache>
                <c:formatCode>General</c:formatCode>
                <c:ptCount val="2"/>
                <c:pt idx="0">
                  <c:v>57304</c:v>
                </c:pt>
                <c:pt idx="1">
                  <c:v>1000</c:v>
                </c:pt>
              </c:numCache>
            </c:numRef>
          </c:val>
          <c:extLst>
            <c:ext xmlns:c16="http://schemas.microsoft.com/office/drawing/2014/chart" uri="{C3380CC4-5D6E-409C-BE32-E72D297353CC}">
              <c16:uniqueId val="{00000000-BB82-499A-904D-CA401E98A63E}"/>
            </c:ext>
          </c:extLst>
        </c:ser>
        <c:ser>
          <c:idx val="1"/>
          <c:order val="1"/>
          <c:tx>
            <c:strRef>
              <c:f>'PIVOT CHARTS'!$C$81</c:f>
              <c:strCache>
                <c:ptCount val="1"/>
                <c:pt idx="0">
                  <c:v>Average of hum</c:v>
                </c:pt>
              </c:strCache>
            </c:strRef>
          </c:tx>
          <c:spPr>
            <a:solidFill>
              <a:schemeClr val="accent2"/>
            </a:solidFill>
            <a:ln>
              <a:noFill/>
            </a:ln>
            <a:effectLst/>
            <a:sp3d/>
          </c:spPr>
          <c:invertIfNegative val="0"/>
          <c:cat>
            <c:strRef>
              <c:f>'PIVOT CHARTS'!$A$82:$A$84</c:f>
              <c:strCache>
                <c:ptCount val="2"/>
                <c:pt idx="0">
                  <c:v>FALSE</c:v>
                </c:pt>
                <c:pt idx="1">
                  <c:v>TRUE</c:v>
                </c:pt>
              </c:strCache>
            </c:strRef>
          </c:cat>
          <c:val>
            <c:numRef>
              <c:f>'PIVOT CHARTS'!$C$82:$C$84</c:f>
              <c:numCache>
                <c:formatCode>General</c:formatCode>
                <c:ptCount val="2"/>
                <c:pt idx="0">
                  <c:v>0.58358606557377035</c:v>
                </c:pt>
                <c:pt idx="1">
                  <c:v>0.53749999999999998</c:v>
                </c:pt>
              </c:numCache>
            </c:numRef>
          </c:val>
          <c:extLst>
            <c:ext xmlns:c16="http://schemas.microsoft.com/office/drawing/2014/chart" uri="{C3380CC4-5D6E-409C-BE32-E72D297353CC}">
              <c16:uniqueId val="{00000001-BB82-499A-904D-CA401E98A63E}"/>
            </c:ext>
          </c:extLst>
        </c:ser>
        <c:dLbls>
          <c:showLegendKey val="0"/>
          <c:showVal val="0"/>
          <c:showCatName val="0"/>
          <c:showSerName val="0"/>
          <c:showPercent val="0"/>
          <c:showBubbleSize val="0"/>
        </c:dLbls>
        <c:gapWidth val="150"/>
        <c:shape val="box"/>
        <c:axId val="429631455"/>
        <c:axId val="429641439"/>
        <c:axId val="0"/>
      </c:bar3DChart>
      <c:catAx>
        <c:axId val="4296314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641439"/>
        <c:crosses val="autoZero"/>
        <c:auto val="1"/>
        <c:lblAlgn val="ctr"/>
        <c:lblOffset val="100"/>
        <c:noMultiLvlLbl val="0"/>
      </c:catAx>
      <c:valAx>
        <c:axId val="429641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631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CHARTS!PivotTable2</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CHARTS'!$B$4</c:f>
              <c:strCache>
                <c:ptCount val="1"/>
                <c:pt idx="0">
                  <c:v>Sum of mnth</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multiLvlStrRef>
              <c:f>'PIVOT CHARTS'!$A$5:$A$10</c:f>
              <c:multiLvlStrCache>
                <c:ptCount val="3"/>
                <c:lvl>
                  <c:pt idx="0">
                    <c:v>1</c:v>
                  </c:pt>
                  <c:pt idx="1">
                    <c:v>2</c:v>
                  </c:pt>
                  <c:pt idx="2">
                    <c:v>1</c:v>
                  </c:pt>
                </c:lvl>
                <c:lvl>
                  <c:pt idx="0">
                    <c:v>FALSE</c:v>
                  </c:pt>
                  <c:pt idx="2">
                    <c:v>TRUE</c:v>
                  </c:pt>
                </c:lvl>
              </c:multiLvlStrCache>
            </c:multiLvlStrRef>
          </c:cat>
          <c:val>
            <c:numRef>
              <c:f>'PIVOT CHARTS'!$B$5:$B$10</c:f>
              <c:numCache>
                <c:formatCode>General</c:formatCode>
                <c:ptCount val="3"/>
                <c:pt idx="0">
                  <c:v>664</c:v>
                </c:pt>
                <c:pt idx="1">
                  <c:v>624</c:v>
                </c:pt>
                <c:pt idx="2">
                  <c:v>24</c:v>
                </c:pt>
              </c:numCache>
            </c:numRef>
          </c:val>
          <c:extLst>
            <c:ext xmlns:c16="http://schemas.microsoft.com/office/drawing/2014/chart" uri="{C3380CC4-5D6E-409C-BE32-E72D297353CC}">
              <c16:uniqueId val="{00000000-1421-4245-BECF-3F39464432D8}"/>
            </c:ext>
          </c:extLst>
        </c:ser>
        <c:ser>
          <c:idx val="1"/>
          <c:order val="1"/>
          <c:tx>
            <c:strRef>
              <c:f>'PIVOT CHARTS'!$C$4</c:f>
              <c:strCache>
                <c:ptCount val="1"/>
                <c:pt idx="0">
                  <c:v>Sum of weekday</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multiLvlStrRef>
              <c:f>'PIVOT CHARTS'!$A$5:$A$10</c:f>
              <c:multiLvlStrCache>
                <c:ptCount val="3"/>
                <c:lvl>
                  <c:pt idx="0">
                    <c:v>1</c:v>
                  </c:pt>
                  <c:pt idx="1">
                    <c:v>2</c:v>
                  </c:pt>
                  <c:pt idx="2">
                    <c:v>1</c:v>
                  </c:pt>
                </c:lvl>
                <c:lvl>
                  <c:pt idx="0">
                    <c:v>FALSE</c:v>
                  </c:pt>
                  <c:pt idx="2">
                    <c:v>TRUE</c:v>
                  </c:pt>
                </c:lvl>
              </c:multiLvlStrCache>
            </c:multiLvlStrRef>
          </c:cat>
          <c:val>
            <c:numRef>
              <c:f>'PIVOT CHARTS'!$C$5:$C$10</c:f>
              <c:numCache>
                <c:formatCode>General</c:formatCode>
                <c:ptCount val="3"/>
                <c:pt idx="0">
                  <c:v>1994</c:v>
                </c:pt>
                <c:pt idx="1">
                  <c:v>964</c:v>
                </c:pt>
                <c:pt idx="2">
                  <c:v>24</c:v>
                </c:pt>
              </c:numCache>
            </c:numRef>
          </c:val>
          <c:extLst>
            <c:ext xmlns:c16="http://schemas.microsoft.com/office/drawing/2014/chart" uri="{C3380CC4-5D6E-409C-BE32-E72D297353CC}">
              <c16:uniqueId val="{00000001-1421-4245-BECF-3F39464432D8}"/>
            </c:ext>
          </c:extLst>
        </c:ser>
        <c:ser>
          <c:idx val="2"/>
          <c:order val="2"/>
          <c:tx>
            <c:strRef>
              <c:f>'PIVOT CHARTS'!$D$4</c:f>
              <c:strCache>
                <c:ptCount val="1"/>
                <c:pt idx="0">
                  <c:v>Sum of casual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multiLvlStrRef>
              <c:f>'PIVOT CHARTS'!$A$5:$A$10</c:f>
              <c:multiLvlStrCache>
                <c:ptCount val="3"/>
                <c:lvl>
                  <c:pt idx="0">
                    <c:v>1</c:v>
                  </c:pt>
                  <c:pt idx="1">
                    <c:v>2</c:v>
                  </c:pt>
                  <c:pt idx="2">
                    <c:v>1</c:v>
                  </c:pt>
                </c:lvl>
                <c:lvl>
                  <c:pt idx="0">
                    <c:v>FALSE</c:v>
                  </c:pt>
                  <c:pt idx="2">
                    <c:v>TRUE</c:v>
                  </c:pt>
                </c:lvl>
              </c:multiLvlStrCache>
            </c:multiLvlStrRef>
          </c:cat>
          <c:val>
            <c:numRef>
              <c:f>'PIVOT CHARTS'!$D$5:$D$10</c:f>
              <c:numCache>
                <c:formatCode>General</c:formatCode>
                <c:ptCount val="3"/>
                <c:pt idx="0">
                  <c:v>2956</c:v>
                </c:pt>
                <c:pt idx="1">
                  <c:v>1848</c:v>
                </c:pt>
                <c:pt idx="2">
                  <c:v>117</c:v>
                </c:pt>
              </c:numCache>
            </c:numRef>
          </c:val>
          <c:extLst>
            <c:ext xmlns:c16="http://schemas.microsoft.com/office/drawing/2014/chart" uri="{C3380CC4-5D6E-409C-BE32-E72D297353CC}">
              <c16:uniqueId val="{00000002-1421-4245-BECF-3F39464432D8}"/>
            </c:ext>
          </c:extLst>
        </c:ser>
        <c:ser>
          <c:idx val="3"/>
          <c:order val="3"/>
          <c:tx>
            <c:strRef>
              <c:f>'PIVOT CHARTS'!$E$4</c:f>
              <c:strCache>
                <c:ptCount val="1"/>
                <c:pt idx="0">
                  <c:v>Sum of registered</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multiLvlStrRef>
              <c:f>'PIVOT CHARTS'!$A$5:$A$10</c:f>
              <c:multiLvlStrCache>
                <c:ptCount val="3"/>
                <c:lvl>
                  <c:pt idx="0">
                    <c:v>1</c:v>
                  </c:pt>
                  <c:pt idx="1">
                    <c:v>2</c:v>
                  </c:pt>
                  <c:pt idx="2">
                    <c:v>1</c:v>
                  </c:pt>
                </c:lvl>
                <c:lvl>
                  <c:pt idx="0">
                    <c:v>FALSE</c:v>
                  </c:pt>
                  <c:pt idx="2">
                    <c:v>TRUE</c:v>
                  </c:pt>
                </c:lvl>
              </c:multiLvlStrCache>
            </c:multiLvlStrRef>
          </c:cat>
          <c:val>
            <c:numRef>
              <c:f>'PIVOT CHARTS'!$E$5:$E$10</c:f>
              <c:numCache>
                <c:formatCode>General</c:formatCode>
                <c:ptCount val="3"/>
                <c:pt idx="0">
                  <c:v>34233</c:v>
                </c:pt>
                <c:pt idx="1">
                  <c:v>18267</c:v>
                </c:pt>
                <c:pt idx="2">
                  <c:v>883</c:v>
                </c:pt>
              </c:numCache>
            </c:numRef>
          </c:val>
          <c:extLst>
            <c:ext xmlns:c16="http://schemas.microsoft.com/office/drawing/2014/chart" uri="{C3380CC4-5D6E-409C-BE32-E72D297353CC}">
              <c16:uniqueId val="{00000003-1421-4245-BECF-3F39464432D8}"/>
            </c:ext>
          </c:extLst>
        </c:ser>
        <c:ser>
          <c:idx val="4"/>
          <c:order val="4"/>
          <c:tx>
            <c:strRef>
              <c:f>'PIVOT CHARTS'!$F$4</c:f>
              <c:strCache>
                <c:ptCount val="1"/>
                <c:pt idx="0">
                  <c:v>Sum of cnt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multiLvlStrRef>
              <c:f>'PIVOT CHARTS'!$A$5:$A$10</c:f>
              <c:multiLvlStrCache>
                <c:ptCount val="3"/>
                <c:lvl>
                  <c:pt idx="0">
                    <c:v>1</c:v>
                  </c:pt>
                  <c:pt idx="1">
                    <c:v>2</c:v>
                  </c:pt>
                  <c:pt idx="2">
                    <c:v>1</c:v>
                  </c:pt>
                </c:lvl>
                <c:lvl>
                  <c:pt idx="0">
                    <c:v>FALSE</c:v>
                  </c:pt>
                  <c:pt idx="2">
                    <c:v>TRUE</c:v>
                  </c:pt>
                </c:lvl>
              </c:multiLvlStrCache>
            </c:multiLvlStrRef>
          </c:cat>
          <c:val>
            <c:numRef>
              <c:f>'PIVOT CHARTS'!$F$5:$F$10</c:f>
              <c:numCache>
                <c:formatCode>General</c:formatCode>
                <c:ptCount val="3"/>
                <c:pt idx="0">
                  <c:v>37189</c:v>
                </c:pt>
                <c:pt idx="1">
                  <c:v>20115</c:v>
                </c:pt>
                <c:pt idx="2">
                  <c:v>1000</c:v>
                </c:pt>
              </c:numCache>
            </c:numRef>
          </c:val>
          <c:extLst>
            <c:ext xmlns:c16="http://schemas.microsoft.com/office/drawing/2014/chart" uri="{C3380CC4-5D6E-409C-BE32-E72D297353CC}">
              <c16:uniqueId val="{00000004-1421-4245-BECF-3F39464432D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[dataset.xlsx]DETAILED ANALYSIS!PivotTable5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711671530569183E-2"/>
          <c:y val="0.13323855351414407"/>
          <c:w val="0.73126164124589321"/>
          <c:h val="0.65853091280256637"/>
        </c:manualLayout>
      </c:layout>
      <c:barChart>
        <c:barDir val="col"/>
        <c:grouping val="clustered"/>
        <c:varyColors val="0"/>
        <c:ser>
          <c:idx val="0"/>
          <c:order val="0"/>
          <c:tx>
            <c:strRef>
              <c:f>'DETAILED ANALYSIS'!$B$5</c:f>
              <c:strCache>
                <c:ptCount val="1"/>
                <c:pt idx="0">
                  <c:v>Sum of weathersit</c:v>
                </c:pt>
              </c:strCache>
            </c:strRef>
          </c:tx>
          <c:spPr>
            <a:solidFill>
              <a:schemeClr val="accent1"/>
            </a:solidFill>
            <a:ln>
              <a:noFill/>
            </a:ln>
            <a:effectLst/>
          </c:spPr>
          <c:invertIfNegative val="0"/>
          <c:cat>
            <c:strRef>
              <c:f>'DETAILED ANALYSIS'!$A$6:$A$8</c:f>
              <c:strCache>
                <c:ptCount val="2"/>
                <c:pt idx="0">
                  <c:v>Jan</c:v>
                </c:pt>
                <c:pt idx="1">
                  <c:v>Feb</c:v>
                </c:pt>
              </c:strCache>
            </c:strRef>
          </c:cat>
          <c:val>
            <c:numRef>
              <c:f>'DETAILED ANALYSIS'!$B$6:$B$8</c:f>
              <c:numCache>
                <c:formatCode>General</c:formatCode>
                <c:ptCount val="2"/>
                <c:pt idx="0">
                  <c:v>175</c:v>
                </c:pt>
                <c:pt idx="1">
                  <c:v>81</c:v>
                </c:pt>
              </c:numCache>
            </c:numRef>
          </c:val>
          <c:extLst>
            <c:ext xmlns:c16="http://schemas.microsoft.com/office/drawing/2014/chart" uri="{C3380CC4-5D6E-409C-BE32-E72D297353CC}">
              <c16:uniqueId val="{00000001-D9EE-4099-88FF-896B284FEC09}"/>
            </c:ext>
          </c:extLst>
        </c:ser>
        <c:ser>
          <c:idx val="1"/>
          <c:order val="1"/>
          <c:tx>
            <c:strRef>
              <c:f>'DETAILED ANALYSIS'!$C$5</c:f>
              <c:strCache>
                <c:ptCount val="1"/>
                <c:pt idx="0">
                  <c:v>Sum of temp</c:v>
                </c:pt>
              </c:strCache>
            </c:strRef>
          </c:tx>
          <c:spPr>
            <a:solidFill>
              <a:schemeClr val="accent2"/>
            </a:solidFill>
            <a:ln>
              <a:noFill/>
            </a:ln>
            <a:effectLst/>
          </c:spPr>
          <c:invertIfNegative val="0"/>
          <c:cat>
            <c:strRef>
              <c:f>'DETAILED ANALYSIS'!$A$6:$A$8</c:f>
              <c:strCache>
                <c:ptCount val="2"/>
                <c:pt idx="0">
                  <c:v>Jan</c:v>
                </c:pt>
                <c:pt idx="1">
                  <c:v>Feb</c:v>
                </c:pt>
              </c:strCache>
            </c:strRef>
          </c:cat>
          <c:val>
            <c:numRef>
              <c:f>'DETAILED ANALYSIS'!$C$6:$C$8</c:f>
              <c:numCache>
                <c:formatCode>General</c:formatCode>
                <c:ptCount val="2"/>
                <c:pt idx="0">
                  <c:v>23.700000000000003</c:v>
                </c:pt>
                <c:pt idx="1">
                  <c:v>10.939999999999998</c:v>
                </c:pt>
              </c:numCache>
            </c:numRef>
          </c:val>
          <c:extLst>
            <c:ext xmlns:c16="http://schemas.microsoft.com/office/drawing/2014/chart" uri="{C3380CC4-5D6E-409C-BE32-E72D297353CC}">
              <c16:uniqueId val="{00000002-D9EE-4099-88FF-896B284FEC09}"/>
            </c:ext>
          </c:extLst>
        </c:ser>
        <c:ser>
          <c:idx val="2"/>
          <c:order val="2"/>
          <c:tx>
            <c:strRef>
              <c:f>'DETAILED ANALYSIS'!$D$5</c:f>
              <c:strCache>
                <c:ptCount val="1"/>
                <c:pt idx="0">
                  <c:v>Sum of atemp</c:v>
                </c:pt>
              </c:strCache>
            </c:strRef>
          </c:tx>
          <c:spPr>
            <a:solidFill>
              <a:schemeClr val="accent3"/>
            </a:solidFill>
            <a:ln>
              <a:noFill/>
            </a:ln>
            <a:effectLst/>
          </c:spPr>
          <c:invertIfNegative val="0"/>
          <c:cat>
            <c:strRef>
              <c:f>'DETAILED ANALYSIS'!$A$6:$A$8</c:f>
              <c:strCache>
                <c:ptCount val="2"/>
                <c:pt idx="0">
                  <c:v>Jan</c:v>
                </c:pt>
                <c:pt idx="1">
                  <c:v>Feb</c:v>
                </c:pt>
              </c:strCache>
            </c:strRef>
          </c:cat>
          <c:val>
            <c:numRef>
              <c:f>'DETAILED ANALYSIS'!$D$6:$D$8</c:f>
              <c:numCache>
                <c:formatCode>General</c:formatCode>
                <c:ptCount val="2"/>
                <c:pt idx="0">
                  <c:v>24.091499999999986</c:v>
                </c:pt>
                <c:pt idx="1">
                  <c:v>11.424299999999997</c:v>
                </c:pt>
              </c:numCache>
            </c:numRef>
          </c:val>
          <c:extLst>
            <c:ext xmlns:c16="http://schemas.microsoft.com/office/drawing/2014/chart" uri="{C3380CC4-5D6E-409C-BE32-E72D297353CC}">
              <c16:uniqueId val="{00000003-D9EE-4099-88FF-896B284FEC09}"/>
            </c:ext>
          </c:extLst>
        </c:ser>
        <c:ser>
          <c:idx val="3"/>
          <c:order val="3"/>
          <c:tx>
            <c:strRef>
              <c:f>'DETAILED ANALYSIS'!$E$5</c:f>
              <c:strCache>
                <c:ptCount val="1"/>
                <c:pt idx="0">
                  <c:v>Sum of hum</c:v>
                </c:pt>
              </c:strCache>
            </c:strRef>
          </c:tx>
          <c:spPr>
            <a:solidFill>
              <a:schemeClr val="accent4"/>
            </a:solidFill>
            <a:ln>
              <a:noFill/>
            </a:ln>
            <a:effectLst/>
          </c:spPr>
          <c:invertIfNegative val="0"/>
          <c:cat>
            <c:strRef>
              <c:f>'DETAILED ANALYSIS'!$A$6:$A$8</c:f>
              <c:strCache>
                <c:ptCount val="2"/>
                <c:pt idx="0">
                  <c:v>Jan</c:v>
                </c:pt>
                <c:pt idx="1">
                  <c:v>Feb</c:v>
                </c:pt>
              </c:strCache>
            </c:strRef>
          </c:cat>
          <c:val>
            <c:numRef>
              <c:f>'DETAILED ANALYSIS'!$E$6:$E$8</c:f>
              <c:numCache>
                <c:formatCode>General</c:formatCode>
                <c:ptCount val="2"/>
                <c:pt idx="0">
                  <c:v>68.360000000000014</c:v>
                </c:pt>
                <c:pt idx="1">
                  <c:v>35.36</c:v>
                </c:pt>
              </c:numCache>
            </c:numRef>
          </c:val>
          <c:extLst>
            <c:ext xmlns:c16="http://schemas.microsoft.com/office/drawing/2014/chart" uri="{C3380CC4-5D6E-409C-BE32-E72D297353CC}">
              <c16:uniqueId val="{00000004-D9EE-4099-88FF-896B284FEC09}"/>
            </c:ext>
          </c:extLst>
        </c:ser>
        <c:ser>
          <c:idx val="4"/>
          <c:order val="4"/>
          <c:tx>
            <c:strRef>
              <c:f>'DETAILED ANALYSIS'!$F$5</c:f>
              <c:strCache>
                <c:ptCount val="1"/>
                <c:pt idx="0">
                  <c:v>Sum of windspeed</c:v>
                </c:pt>
              </c:strCache>
            </c:strRef>
          </c:tx>
          <c:spPr>
            <a:solidFill>
              <a:schemeClr val="accent5"/>
            </a:solidFill>
            <a:ln>
              <a:noFill/>
            </a:ln>
            <a:effectLst/>
          </c:spPr>
          <c:invertIfNegative val="0"/>
          <c:cat>
            <c:strRef>
              <c:f>'DETAILED ANALYSIS'!$A$6:$A$8</c:f>
              <c:strCache>
                <c:ptCount val="2"/>
                <c:pt idx="0">
                  <c:v>Jan</c:v>
                </c:pt>
                <c:pt idx="1">
                  <c:v>Feb</c:v>
                </c:pt>
              </c:strCache>
            </c:strRef>
          </c:cat>
          <c:val>
            <c:numRef>
              <c:f>'DETAILED ANALYSIS'!$F$6:$F$8</c:f>
              <c:numCache>
                <c:formatCode>General</c:formatCode>
                <c:ptCount val="2"/>
                <c:pt idx="0">
                  <c:v>30.319450000000018</c:v>
                </c:pt>
                <c:pt idx="1">
                  <c:v>12.545299999999996</c:v>
                </c:pt>
              </c:numCache>
            </c:numRef>
          </c:val>
          <c:extLst>
            <c:ext xmlns:c16="http://schemas.microsoft.com/office/drawing/2014/chart" uri="{C3380CC4-5D6E-409C-BE32-E72D297353CC}">
              <c16:uniqueId val="{00000005-D9EE-4099-88FF-896B284FEC09}"/>
            </c:ext>
          </c:extLst>
        </c:ser>
        <c:ser>
          <c:idx val="5"/>
          <c:order val="5"/>
          <c:tx>
            <c:strRef>
              <c:f>'DETAILED ANALYSIS'!$G$5</c:f>
              <c:strCache>
                <c:ptCount val="1"/>
                <c:pt idx="0">
                  <c:v>Sum of cnt</c:v>
                </c:pt>
              </c:strCache>
            </c:strRef>
          </c:tx>
          <c:spPr>
            <a:solidFill>
              <a:schemeClr val="accent6"/>
            </a:solidFill>
            <a:ln>
              <a:noFill/>
            </a:ln>
            <a:effectLst/>
          </c:spPr>
          <c:invertIfNegative val="0"/>
          <c:cat>
            <c:strRef>
              <c:f>'DETAILED ANALYSIS'!$A$6:$A$8</c:f>
              <c:strCache>
                <c:ptCount val="2"/>
                <c:pt idx="0">
                  <c:v>Jan</c:v>
                </c:pt>
                <c:pt idx="1">
                  <c:v>Feb</c:v>
                </c:pt>
              </c:strCache>
            </c:strRef>
          </c:cat>
          <c:val>
            <c:numRef>
              <c:f>'DETAILED ANALYSIS'!$G$6:$G$8</c:f>
              <c:numCache>
                <c:formatCode>General</c:formatCode>
                <c:ptCount val="2"/>
                <c:pt idx="0">
                  <c:v>5271</c:v>
                </c:pt>
                <c:pt idx="1">
                  <c:v>2477</c:v>
                </c:pt>
              </c:numCache>
            </c:numRef>
          </c:val>
          <c:extLst>
            <c:ext xmlns:c16="http://schemas.microsoft.com/office/drawing/2014/chart" uri="{C3380CC4-5D6E-409C-BE32-E72D297353CC}">
              <c16:uniqueId val="{00000006-D9EE-4099-88FF-896B284FEC09}"/>
            </c:ext>
          </c:extLst>
        </c:ser>
        <c:ser>
          <c:idx val="6"/>
          <c:order val="6"/>
          <c:tx>
            <c:strRef>
              <c:f>'DETAILED ANALYSIS'!$H$5</c:f>
              <c:strCache>
                <c:ptCount val="1"/>
                <c:pt idx="0">
                  <c:v>Sum of registered</c:v>
                </c:pt>
              </c:strCache>
            </c:strRef>
          </c:tx>
          <c:spPr>
            <a:solidFill>
              <a:schemeClr val="accent1">
                <a:lumMod val="60000"/>
              </a:schemeClr>
            </a:solidFill>
            <a:ln>
              <a:noFill/>
            </a:ln>
            <a:effectLst/>
          </c:spPr>
          <c:invertIfNegative val="0"/>
          <c:cat>
            <c:strRef>
              <c:f>'DETAILED ANALYSIS'!$A$6:$A$8</c:f>
              <c:strCache>
                <c:ptCount val="2"/>
                <c:pt idx="0">
                  <c:v>Jan</c:v>
                </c:pt>
                <c:pt idx="1">
                  <c:v>Feb</c:v>
                </c:pt>
              </c:strCache>
            </c:strRef>
          </c:cat>
          <c:val>
            <c:numRef>
              <c:f>'DETAILED ANALYSIS'!$H$6:$H$8</c:f>
              <c:numCache>
                <c:formatCode>General</c:formatCode>
                <c:ptCount val="2"/>
                <c:pt idx="0">
                  <c:v>4434</c:v>
                </c:pt>
                <c:pt idx="1">
                  <c:v>2089</c:v>
                </c:pt>
              </c:numCache>
            </c:numRef>
          </c:val>
          <c:extLst>
            <c:ext xmlns:c16="http://schemas.microsoft.com/office/drawing/2014/chart" uri="{C3380CC4-5D6E-409C-BE32-E72D297353CC}">
              <c16:uniqueId val="{00000007-D9EE-4099-88FF-896B284FEC09}"/>
            </c:ext>
          </c:extLst>
        </c:ser>
        <c:ser>
          <c:idx val="7"/>
          <c:order val="7"/>
          <c:tx>
            <c:strRef>
              <c:f>'DETAILED ANALYSIS'!$I$5</c:f>
              <c:strCache>
                <c:ptCount val="1"/>
                <c:pt idx="0">
                  <c:v>Sum of casual</c:v>
                </c:pt>
              </c:strCache>
            </c:strRef>
          </c:tx>
          <c:spPr>
            <a:solidFill>
              <a:schemeClr val="accent2">
                <a:lumMod val="60000"/>
              </a:schemeClr>
            </a:solidFill>
            <a:ln>
              <a:noFill/>
            </a:ln>
            <a:effectLst/>
          </c:spPr>
          <c:invertIfNegative val="0"/>
          <c:cat>
            <c:strRef>
              <c:f>'DETAILED ANALYSIS'!$A$6:$A$8</c:f>
              <c:strCache>
                <c:ptCount val="2"/>
                <c:pt idx="0">
                  <c:v>Jan</c:v>
                </c:pt>
                <c:pt idx="1">
                  <c:v>Feb</c:v>
                </c:pt>
              </c:strCache>
            </c:strRef>
          </c:cat>
          <c:val>
            <c:numRef>
              <c:f>'DETAILED ANALYSIS'!$I$6:$I$8</c:f>
              <c:numCache>
                <c:formatCode>General</c:formatCode>
                <c:ptCount val="2"/>
                <c:pt idx="0">
                  <c:v>837</c:v>
                </c:pt>
                <c:pt idx="1">
                  <c:v>388</c:v>
                </c:pt>
              </c:numCache>
            </c:numRef>
          </c:val>
          <c:extLst>
            <c:ext xmlns:c16="http://schemas.microsoft.com/office/drawing/2014/chart" uri="{C3380CC4-5D6E-409C-BE32-E72D297353CC}">
              <c16:uniqueId val="{00000008-D9EE-4099-88FF-896B284FEC09}"/>
            </c:ext>
          </c:extLst>
        </c:ser>
        <c:dLbls>
          <c:showLegendKey val="0"/>
          <c:showVal val="0"/>
          <c:showCatName val="0"/>
          <c:showSerName val="0"/>
          <c:showPercent val="0"/>
          <c:showBubbleSize val="0"/>
        </c:dLbls>
        <c:gapWidth val="219"/>
        <c:overlap val="-27"/>
        <c:axId val="429618143"/>
        <c:axId val="429635615"/>
      </c:barChart>
      <c:catAx>
        <c:axId val="429618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635615"/>
        <c:crosses val="autoZero"/>
        <c:auto val="1"/>
        <c:lblAlgn val="ctr"/>
        <c:lblOffset val="100"/>
        <c:noMultiLvlLbl val="0"/>
      </c:catAx>
      <c:valAx>
        <c:axId val="42963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618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[dataset.xlsx]DETAILED ANALYSIS!PivotTable5</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'DETAILED ANALYSIS'!$B$5</c:f>
              <c:strCache>
                <c:ptCount val="1"/>
                <c:pt idx="0">
                  <c:v>Sum of weathersit</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cat>
            <c:strRef>
              <c:f>'DETAILED ANALYSIS'!$A$6:$A$8</c:f>
              <c:strCache>
                <c:ptCount val="2"/>
                <c:pt idx="0">
                  <c:v>Jan</c:v>
                </c:pt>
                <c:pt idx="1">
                  <c:v>Feb</c:v>
                </c:pt>
              </c:strCache>
            </c:strRef>
          </c:cat>
          <c:val>
            <c:numRef>
              <c:f>'DETAILED ANALYSIS'!$B$6:$B$8</c:f>
              <c:numCache>
                <c:formatCode>General</c:formatCode>
                <c:ptCount val="2"/>
                <c:pt idx="0">
                  <c:v>175</c:v>
                </c:pt>
                <c:pt idx="1">
                  <c:v>81</c:v>
                </c:pt>
              </c:numCache>
            </c:numRef>
          </c:val>
          <c:extLst>
            <c:ext xmlns:c16="http://schemas.microsoft.com/office/drawing/2014/chart" uri="{C3380CC4-5D6E-409C-BE32-E72D297353CC}">
              <c16:uniqueId val="{00000000-09D2-4426-9A94-A03044E93579}"/>
            </c:ext>
          </c:extLst>
        </c:ser>
        <c:ser>
          <c:idx val="1"/>
          <c:order val="1"/>
          <c:tx>
            <c:strRef>
              <c:f>'DETAILED ANALYSIS'!$C$5</c:f>
              <c:strCache>
                <c:ptCount val="1"/>
                <c:pt idx="0">
                  <c:v>Sum of temp</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cat>
            <c:strRef>
              <c:f>'DETAILED ANALYSIS'!$A$6:$A$8</c:f>
              <c:strCache>
                <c:ptCount val="2"/>
                <c:pt idx="0">
                  <c:v>Jan</c:v>
                </c:pt>
                <c:pt idx="1">
                  <c:v>Feb</c:v>
                </c:pt>
              </c:strCache>
            </c:strRef>
          </c:cat>
          <c:val>
            <c:numRef>
              <c:f>'DETAILED ANALYSIS'!$C$6:$C$8</c:f>
              <c:numCache>
                <c:formatCode>General</c:formatCode>
                <c:ptCount val="2"/>
                <c:pt idx="0">
                  <c:v>23.700000000000003</c:v>
                </c:pt>
                <c:pt idx="1">
                  <c:v>10.939999999999998</c:v>
                </c:pt>
              </c:numCache>
            </c:numRef>
          </c:val>
          <c:extLst>
            <c:ext xmlns:c16="http://schemas.microsoft.com/office/drawing/2014/chart" uri="{C3380CC4-5D6E-409C-BE32-E72D297353CC}">
              <c16:uniqueId val="{00000001-09D2-4426-9A94-A03044E93579}"/>
            </c:ext>
          </c:extLst>
        </c:ser>
        <c:ser>
          <c:idx val="2"/>
          <c:order val="2"/>
          <c:tx>
            <c:strRef>
              <c:f>'DETAILED ANALYSIS'!$D$5</c:f>
              <c:strCache>
                <c:ptCount val="1"/>
                <c:pt idx="0">
                  <c:v>Sum of atemp</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cat>
            <c:strRef>
              <c:f>'DETAILED ANALYSIS'!$A$6:$A$8</c:f>
              <c:strCache>
                <c:ptCount val="2"/>
                <c:pt idx="0">
                  <c:v>Jan</c:v>
                </c:pt>
                <c:pt idx="1">
                  <c:v>Feb</c:v>
                </c:pt>
              </c:strCache>
            </c:strRef>
          </c:cat>
          <c:val>
            <c:numRef>
              <c:f>'DETAILED ANALYSIS'!$D$6:$D$8</c:f>
              <c:numCache>
                <c:formatCode>General</c:formatCode>
                <c:ptCount val="2"/>
                <c:pt idx="0">
                  <c:v>24.091499999999986</c:v>
                </c:pt>
                <c:pt idx="1">
                  <c:v>11.424299999999997</c:v>
                </c:pt>
              </c:numCache>
            </c:numRef>
          </c:val>
          <c:extLst>
            <c:ext xmlns:c16="http://schemas.microsoft.com/office/drawing/2014/chart" uri="{C3380CC4-5D6E-409C-BE32-E72D297353CC}">
              <c16:uniqueId val="{00000002-09D2-4426-9A94-A03044E93579}"/>
            </c:ext>
          </c:extLst>
        </c:ser>
        <c:ser>
          <c:idx val="3"/>
          <c:order val="3"/>
          <c:tx>
            <c:strRef>
              <c:f>'DETAILED ANALYSIS'!$E$5</c:f>
              <c:strCache>
                <c:ptCount val="1"/>
                <c:pt idx="0">
                  <c:v>Sum of hum</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cat>
            <c:strRef>
              <c:f>'DETAILED ANALYSIS'!$A$6:$A$8</c:f>
              <c:strCache>
                <c:ptCount val="2"/>
                <c:pt idx="0">
                  <c:v>Jan</c:v>
                </c:pt>
                <c:pt idx="1">
                  <c:v>Feb</c:v>
                </c:pt>
              </c:strCache>
            </c:strRef>
          </c:cat>
          <c:val>
            <c:numRef>
              <c:f>'DETAILED ANALYSIS'!$E$6:$E$8</c:f>
              <c:numCache>
                <c:formatCode>General</c:formatCode>
                <c:ptCount val="2"/>
                <c:pt idx="0">
                  <c:v>68.360000000000014</c:v>
                </c:pt>
                <c:pt idx="1">
                  <c:v>35.36</c:v>
                </c:pt>
              </c:numCache>
            </c:numRef>
          </c:val>
          <c:extLst>
            <c:ext xmlns:c16="http://schemas.microsoft.com/office/drawing/2014/chart" uri="{C3380CC4-5D6E-409C-BE32-E72D297353CC}">
              <c16:uniqueId val="{00000003-09D2-4426-9A94-A03044E93579}"/>
            </c:ext>
          </c:extLst>
        </c:ser>
        <c:ser>
          <c:idx val="4"/>
          <c:order val="4"/>
          <c:tx>
            <c:strRef>
              <c:f>'DETAILED ANALYSIS'!$F$5</c:f>
              <c:strCache>
                <c:ptCount val="1"/>
                <c:pt idx="0">
                  <c:v>Sum of windspeed</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cat>
            <c:strRef>
              <c:f>'DETAILED ANALYSIS'!$A$6:$A$8</c:f>
              <c:strCache>
                <c:ptCount val="2"/>
                <c:pt idx="0">
                  <c:v>Jan</c:v>
                </c:pt>
                <c:pt idx="1">
                  <c:v>Feb</c:v>
                </c:pt>
              </c:strCache>
            </c:strRef>
          </c:cat>
          <c:val>
            <c:numRef>
              <c:f>'DETAILED ANALYSIS'!$F$6:$F$8</c:f>
              <c:numCache>
                <c:formatCode>General</c:formatCode>
                <c:ptCount val="2"/>
                <c:pt idx="0">
                  <c:v>30.319450000000018</c:v>
                </c:pt>
                <c:pt idx="1">
                  <c:v>12.545299999999996</c:v>
                </c:pt>
              </c:numCache>
            </c:numRef>
          </c:val>
          <c:extLst>
            <c:ext xmlns:c16="http://schemas.microsoft.com/office/drawing/2014/chart" uri="{C3380CC4-5D6E-409C-BE32-E72D297353CC}">
              <c16:uniqueId val="{00000004-09D2-4426-9A94-A03044E93579}"/>
            </c:ext>
          </c:extLst>
        </c:ser>
        <c:ser>
          <c:idx val="5"/>
          <c:order val="5"/>
          <c:tx>
            <c:strRef>
              <c:f>'DETAILED ANALYSIS'!$G$5</c:f>
              <c:strCache>
                <c:ptCount val="1"/>
                <c:pt idx="0">
                  <c:v>Sum of cnt</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cat>
            <c:strRef>
              <c:f>'DETAILED ANALYSIS'!$A$6:$A$8</c:f>
              <c:strCache>
                <c:ptCount val="2"/>
                <c:pt idx="0">
                  <c:v>Jan</c:v>
                </c:pt>
                <c:pt idx="1">
                  <c:v>Feb</c:v>
                </c:pt>
              </c:strCache>
            </c:strRef>
          </c:cat>
          <c:val>
            <c:numRef>
              <c:f>'DETAILED ANALYSIS'!$G$6:$G$8</c:f>
              <c:numCache>
                <c:formatCode>General</c:formatCode>
                <c:ptCount val="2"/>
                <c:pt idx="0">
                  <c:v>5271</c:v>
                </c:pt>
                <c:pt idx="1">
                  <c:v>2477</c:v>
                </c:pt>
              </c:numCache>
            </c:numRef>
          </c:val>
          <c:extLst>
            <c:ext xmlns:c16="http://schemas.microsoft.com/office/drawing/2014/chart" uri="{C3380CC4-5D6E-409C-BE32-E72D297353CC}">
              <c16:uniqueId val="{00000005-09D2-4426-9A94-A03044E93579}"/>
            </c:ext>
          </c:extLst>
        </c:ser>
        <c:ser>
          <c:idx val="6"/>
          <c:order val="6"/>
          <c:tx>
            <c:strRef>
              <c:f>'DETAILED ANALYSIS'!$H$5</c:f>
              <c:strCache>
                <c:ptCount val="1"/>
                <c:pt idx="0">
                  <c:v>Sum of registered</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cat>
            <c:strRef>
              <c:f>'DETAILED ANALYSIS'!$A$6:$A$8</c:f>
              <c:strCache>
                <c:ptCount val="2"/>
                <c:pt idx="0">
                  <c:v>Jan</c:v>
                </c:pt>
                <c:pt idx="1">
                  <c:v>Feb</c:v>
                </c:pt>
              </c:strCache>
            </c:strRef>
          </c:cat>
          <c:val>
            <c:numRef>
              <c:f>'DETAILED ANALYSIS'!$H$6:$H$8</c:f>
              <c:numCache>
                <c:formatCode>General</c:formatCode>
                <c:ptCount val="2"/>
                <c:pt idx="0">
                  <c:v>4434</c:v>
                </c:pt>
                <c:pt idx="1">
                  <c:v>2089</c:v>
                </c:pt>
              </c:numCache>
            </c:numRef>
          </c:val>
          <c:extLst>
            <c:ext xmlns:c16="http://schemas.microsoft.com/office/drawing/2014/chart" uri="{C3380CC4-5D6E-409C-BE32-E72D297353CC}">
              <c16:uniqueId val="{00000006-09D2-4426-9A94-A03044E93579}"/>
            </c:ext>
          </c:extLst>
        </c:ser>
        <c:ser>
          <c:idx val="7"/>
          <c:order val="7"/>
          <c:tx>
            <c:strRef>
              <c:f>'DETAILED ANALYSIS'!$I$5</c:f>
              <c:strCache>
                <c:ptCount val="1"/>
                <c:pt idx="0">
                  <c:v>Sum of casual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cat>
            <c:strRef>
              <c:f>'DETAILED ANALYSIS'!$A$6:$A$8</c:f>
              <c:strCache>
                <c:ptCount val="2"/>
                <c:pt idx="0">
                  <c:v>Jan</c:v>
                </c:pt>
                <c:pt idx="1">
                  <c:v>Feb</c:v>
                </c:pt>
              </c:strCache>
            </c:strRef>
          </c:cat>
          <c:val>
            <c:numRef>
              <c:f>'DETAILED ANALYSIS'!$I$6:$I$8</c:f>
              <c:numCache>
                <c:formatCode>General</c:formatCode>
                <c:ptCount val="2"/>
                <c:pt idx="0">
                  <c:v>837</c:v>
                </c:pt>
                <c:pt idx="1">
                  <c:v>388</c:v>
                </c:pt>
              </c:numCache>
            </c:numRef>
          </c:val>
          <c:extLst>
            <c:ext xmlns:c16="http://schemas.microsoft.com/office/drawing/2014/chart" uri="{C3380CC4-5D6E-409C-BE32-E72D297353CC}">
              <c16:uniqueId val="{00000007-09D2-4426-9A94-A03044E9357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CHARTS!PivotTable2</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698"/>
          <c:y val="0.15175707203266259"/>
          <c:w val="0.61962226596675418"/>
          <c:h val="0.58122411781860606"/>
        </c:manualLayout>
      </c:layout>
      <c:barChart>
        <c:barDir val="col"/>
        <c:grouping val="clustered"/>
        <c:varyColors val="0"/>
        <c:ser>
          <c:idx val="0"/>
          <c:order val="0"/>
          <c:tx>
            <c:strRef>
              <c:f>'PIVOT CHARTS'!$B$4</c:f>
              <c:strCache>
                <c:ptCount val="1"/>
                <c:pt idx="0">
                  <c:v>Sum of mnth</c:v>
                </c:pt>
              </c:strCache>
            </c:strRef>
          </c:tx>
          <c:spPr>
            <a:solidFill>
              <a:schemeClr val="accent1"/>
            </a:solidFill>
            <a:ln>
              <a:noFill/>
            </a:ln>
            <a:effectLst/>
          </c:spPr>
          <c:invertIfNegative val="0"/>
          <c:cat>
            <c:multiLvlStrRef>
              <c:f>'PIVOT CHARTS'!$A$5:$A$10</c:f>
              <c:multiLvlStrCache>
                <c:ptCount val="3"/>
                <c:lvl>
                  <c:pt idx="0">
                    <c:v>1</c:v>
                  </c:pt>
                  <c:pt idx="1">
                    <c:v>2</c:v>
                  </c:pt>
                  <c:pt idx="2">
                    <c:v>1</c:v>
                  </c:pt>
                </c:lvl>
                <c:lvl>
                  <c:pt idx="0">
                    <c:v>FALSE</c:v>
                  </c:pt>
                  <c:pt idx="2">
                    <c:v>TRUE</c:v>
                  </c:pt>
                </c:lvl>
              </c:multiLvlStrCache>
            </c:multiLvlStrRef>
          </c:cat>
          <c:val>
            <c:numRef>
              <c:f>'PIVOT CHARTS'!$B$5:$B$10</c:f>
              <c:numCache>
                <c:formatCode>General</c:formatCode>
                <c:ptCount val="3"/>
                <c:pt idx="0">
                  <c:v>664</c:v>
                </c:pt>
                <c:pt idx="1">
                  <c:v>624</c:v>
                </c:pt>
                <c:pt idx="2">
                  <c:v>24</c:v>
                </c:pt>
              </c:numCache>
            </c:numRef>
          </c:val>
          <c:extLst>
            <c:ext xmlns:c16="http://schemas.microsoft.com/office/drawing/2014/chart" uri="{C3380CC4-5D6E-409C-BE32-E72D297353CC}">
              <c16:uniqueId val="{00000000-4328-4252-B310-ADFC54CF530F}"/>
            </c:ext>
          </c:extLst>
        </c:ser>
        <c:ser>
          <c:idx val="1"/>
          <c:order val="1"/>
          <c:tx>
            <c:strRef>
              <c:f>'PIVOT CHARTS'!$C$4</c:f>
              <c:strCache>
                <c:ptCount val="1"/>
                <c:pt idx="0">
                  <c:v>Sum of weekday</c:v>
                </c:pt>
              </c:strCache>
            </c:strRef>
          </c:tx>
          <c:spPr>
            <a:solidFill>
              <a:schemeClr val="accent2"/>
            </a:solidFill>
            <a:ln>
              <a:noFill/>
            </a:ln>
            <a:effectLst/>
          </c:spPr>
          <c:invertIfNegative val="0"/>
          <c:cat>
            <c:multiLvlStrRef>
              <c:f>'PIVOT CHARTS'!$A$5:$A$10</c:f>
              <c:multiLvlStrCache>
                <c:ptCount val="3"/>
                <c:lvl>
                  <c:pt idx="0">
                    <c:v>1</c:v>
                  </c:pt>
                  <c:pt idx="1">
                    <c:v>2</c:v>
                  </c:pt>
                  <c:pt idx="2">
                    <c:v>1</c:v>
                  </c:pt>
                </c:lvl>
                <c:lvl>
                  <c:pt idx="0">
                    <c:v>FALSE</c:v>
                  </c:pt>
                  <c:pt idx="2">
                    <c:v>TRUE</c:v>
                  </c:pt>
                </c:lvl>
              </c:multiLvlStrCache>
            </c:multiLvlStrRef>
          </c:cat>
          <c:val>
            <c:numRef>
              <c:f>'PIVOT CHARTS'!$C$5:$C$10</c:f>
              <c:numCache>
                <c:formatCode>General</c:formatCode>
                <c:ptCount val="3"/>
                <c:pt idx="0">
                  <c:v>1994</c:v>
                </c:pt>
                <c:pt idx="1">
                  <c:v>964</c:v>
                </c:pt>
                <c:pt idx="2">
                  <c:v>24</c:v>
                </c:pt>
              </c:numCache>
            </c:numRef>
          </c:val>
          <c:extLst>
            <c:ext xmlns:c16="http://schemas.microsoft.com/office/drawing/2014/chart" uri="{C3380CC4-5D6E-409C-BE32-E72D297353CC}">
              <c16:uniqueId val="{00000001-4328-4252-B310-ADFC54CF530F}"/>
            </c:ext>
          </c:extLst>
        </c:ser>
        <c:ser>
          <c:idx val="2"/>
          <c:order val="2"/>
          <c:tx>
            <c:strRef>
              <c:f>'PIVOT CHARTS'!$D$4</c:f>
              <c:strCache>
                <c:ptCount val="1"/>
                <c:pt idx="0">
                  <c:v>Sum of casual</c:v>
                </c:pt>
              </c:strCache>
            </c:strRef>
          </c:tx>
          <c:spPr>
            <a:solidFill>
              <a:schemeClr val="accent3"/>
            </a:solidFill>
            <a:ln>
              <a:noFill/>
            </a:ln>
            <a:effectLst/>
          </c:spPr>
          <c:invertIfNegative val="0"/>
          <c:cat>
            <c:multiLvlStrRef>
              <c:f>'PIVOT CHARTS'!$A$5:$A$10</c:f>
              <c:multiLvlStrCache>
                <c:ptCount val="3"/>
                <c:lvl>
                  <c:pt idx="0">
                    <c:v>1</c:v>
                  </c:pt>
                  <c:pt idx="1">
                    <c:v>2</c:v>
                  </c:pt>
                  <c:pt idx="2">
                    <c:v>1</c:v>
                  </c:pt>
                </c:lvl>
                <c:lvl>
                  <c:pt idx="0">
                    <c:v>FALSE</c:v>
                  </c:pt>
                  <c:pt idx="2">
                    <c:v>TRUE</c:v>
                  </c:pt>
                </c:lvl>
              </c:multiLvlStrCache>
            </c:multiLvlStrRef>
          </c:cat>
          <c:val>
            <c:numRef>
              <c:f>'PIVOT CHARTS'!$D$5:$D$10</c:f>
              <c:numCache>
                <c:formatCode>General</c:formatCode>
                <c:ptCount val="3"/>
                <c:pt idx="0">
                  <c:v>2956</c:v>
                </c:pt>
                <c:pt idx="1">
                  <c:v>1848</c:v>
                </c:pt>
                <c:pt idx="2">
                  <c:v>117</c:v>
                </c:pt>
              </c:numCache>
            </c:numRef>
          </c:val>
          <c:extLst>
            <c:ext xmlns:c16="http://schemas.microsoft.com/office/drawing/2014/chart" uri="{C3380CC4-5D6E-409C-BE32-E72D297353CC}">
              <c16:uniqueId val="{00000002-4328-4252-B310-ADFC54CF530F}"/>
            </c:ext>
          </c:extLst>
        </c:ser>
        <c:ser>
          <c:idx val="3"/>
          <c:order val="3"/>
          <c:tx>
            <c:strRef>
              <c:f>'PIVOT CHARTS'!$E$4</c:f>
              <c:strCache>
                <c:ptCount val="1"/>
                <c:pt idx="0">
                  <c:v>Sum of registered</c:v>
                </c:pt>
              </c:strCache>
            </c:strRef>
          </c:tx>
          <c:spPr>
            <a:solidFill>
              <a:schemeClr val="accent4"/>
            </a:solidFill>
            <a:ln>
              <a:noFill/>
            </a:ln>
            <a:effectLst/>
          </c:spPr>
          <c:invertIfNegative val="0"/>
          <c:cat>
            <c:multiLvlStrRef>
              <c:f>'PIVOT CHARTS'!$A$5:$A$10</c:f>
              <c:multiLvlStrCache>
                <c:ptCount val="3"/>
                <c:lvl>
                  <c:pt idx="0">
                    <c:v>1</c:v>
                  </c:pt>
                  <c:pt idx="1">
                    <c:v>2</c:v>
                  </c:pt>
                  <c:pt idx="2">
                    <c:v>1</c:v>
                  </c:pt>
                </c:lvl>
                <c:lvl>
                  <c:pt idx="0">
                    <c:v>FALSE</c:v>
                  </c:pt>
                  <c:pt idx="2">
                    <c:v>TRUE</c:v>
                  </c:pt>
                </c:lvl>
              </c:multiLvlStrCache>
            </c:multiLvlStrRef>
          </c:cat>
          <c:val>
            <c:numRef>
              <c:f>'PIVOT CHARTS'!$E$5:$E$10</c:f>
              <c:numCache>
                <c:formatCode>General</c:formatCode>
                <c:ptCount val="3"/>
                <c:pt idx="0">
                  <c:v>34233</c:v>
                </c:pt>
                <c:pt idx="1">
                  <c:v>18267</c:v>
                </c:pt>
                <c:pt idx="2">
                  <c:v>883</c:v>
                </c:pt>
              </c:numCache>
            </c:numRef>
          </c:val>
          <c:extLst>
            <c:ext xmlns:c16="http://schemas.microsoft.com/office/drawing/2014/chart" uri="{C3380CC4-5D6E-409C-BE32-E72D297353CC}">
              <c16:uniqueId val="{00000003-4328-4252-B310-ADFC54CF530F}"/>
            </c:ext>
          </c:extLst>
        </c:ser>
        <c:ser>
          <c:idx val="4"/>
          <c:order val="4"/>
          <c:tx>
            <c:strRef>
              <c:f>'PIVOT CHARTS'!$F$4</c:f>
              <c:strCache>
                <c:ptCount val="1"/>
                <c:pt idx="0">
                  <c:v>Sum of cnt</c:v>
                </c:pt>
              </c:strCache>
            </c:strRef>
          </c:tx>
          <c:spPr>
            <a:solidFill>
              <a:schemeClr val="accent5"/>
            </a:solidFill>
            <a:ln>
              <a:noFill/>
            </a:ln>
            <a:effectLst/>
          </c:spPr>
          <c:invertIfNegative val="0"/>
          <c:cat>
            <c:multiLvlStrRef>
              <c:f>'PIVOT CHARTS'!$A$5:$A$10</c:f>
              <c:multiLvlStrCache>
                <c:ptCount val="3"/>
                <c:lvl>
                  <c:pt idx="0">
                    <c:v>1</c:v>
                  </c:pt>
                  <c:pt idx="1">
                    <c:v>2</c:v>
                  </c:pt>
                  <c:pt idx="2">
                    <c:v>1</c:v>
                  </c:pt>
                </c:lvl>
                <c:lvl>
                  <c:pt idx="0">
                    <c:v>FALSE</c:v>
                  </c:pt>
                  <c:pt idx="2">
                    <c:v>TRUE</c:v>
                  </c:pt>
                </c:lvl>
              </c:multiLvlStrCache>
            </c:multiLvlStrRef>
          </c:cat>
          <c:val>
            <c:numRef>
              <c:f>'PIVOT CHARTS'!$F$5:$F$10</c:f>
              <c:numCache>
                <c:formatCode>General</c:formatCode>
                <c:ptCount val="3"/>
                <c:pt idx="0">
                  <c:v>37189</c:v>
                </c:pt>
                <c:pt idx="1">
                  <c:v>20115</c:v>
                </c:pt>
                <c:pt idx="2">
                  <c:v>1000</c:v>
                </c:pt>
              </c:numCache>
            </c:numRef>
          </c:val>
          <c:extLst>
            <c:ext xmlns:c16="http://schemas.microsoft.com/office/drawing/2014/chart" uri="{C3380CC4-5D6E-409C-BE32-E72D297353CC}">
              <c16:uniqueId val="{00000004-4328-4252-B310-ADFC54CF530F}"/>
            </c:ext>
          </c:extLst>
        </c:ser>
        <c:dLbls>
          <c:showLegendKey val="0"/>
          <c:showVal val="0"/>
          <c:showCatName val="0"/>
          <c:showSerName val="0"/>
          <c:showPercent val="0"/>
          <c:showBubbleSize val="0"/>
        </c:dLbls>
        <c:gapWidth val="150"/>
        <c:axId val="1718680816"/>
        <c:axId val="1718679984"/>
      </c:barChart>
      <c:catAx>
        <c:axId val="171868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679984"/>
        <c:crosses val="autoZero"/>
        <c:auto val="1"/>
        <c:lblAlgn val="ctr"/>
        <c:lblOffset val="100"/>
        <c:noMultiLvlLbl val="0"/>
      </c:catAx>
      <c:valAx>
        <c:axId val="1718679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68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 CHARTS!PivotTable3</c:name>
    <c:fmtId val="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CHARTS'!$B$30</c:f>
              <c:strCache>
                <c:ptCount val="1"/>
                <c:pt idx="0">
                  <c:v>Sum of registered</c:v>
                </c:pt>
              </c:strCache>
            </c:strRef>
          </c:tx>
          <c:spPr>
            <a:solidFill>
              <a:schemeClr val="accent1"/>
            </a:solidFill>
            <a:ln>
              <a:noFill/>
            </a:ln>
            <a:effectLst/>
            <a:sp3d/>
          </c:spPr>
          <c:invertIfNegative val="0"/>
          <c:cat>
            <c:strRef>
              <c:f>'PIVOT CHARTS'!$A$31:$A$76</c:f>
              <c:strCache>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Cache>
            </c:strRef>
          </c:cat>
          <c:val>
            <c:numRef>
              <c:f>'PIVOT CHARTS'!$B$31:$B$76</c:f>
              <c:numCache>
                <c:formatCode>General</c:formatCode>
                <c:ptCount val="45"/>
                <c:pt idx="0">
                  <c:v>654</c:v>
                </c:pt>
                <c:pt idx="1">
                  <c:v>670</c:v>
                </c:pt>
                <c:pt idx="2">
                  <c:v>1229</c:v>
                </c:pt>
                <c:pt idx="3">
                  <c:v>1454</c:v>
                </c:pt>
                <c:pt idx="4">
                  <c:v>1518</c:v>
                </c:pt>
                <c:pt idx="5">
                  <c:v>1518</c:v>
                </c:pt>
                <c:pt idx="6">
                  <c:v>1362</c:v>
                </c:pt>
                <c:pt idx="7">
                  <c:v>891</c:v>
                </c:pt>
                <c:pt idx="8">
                  <c:v>768</c:v>
                </c:pt>
                <c:pt idx="9">
                  <c:v>1280</c:v>
                </c:pt>
                <c:pt idx="10">
                  <c:v>1220</c:v>
                </c:pt>
                <c:pt idx="11">
                  <c:v>1137</c:v>
                </c:pt>
                <c:pt idx="12">
                  <c:v>1368</c:v>
                </c:pt>
                <c:pt idx="13">
                  <c:v>1367</c:v>
                </c:pt>
                <c:pt idx="14">
                  <c:v>1026</c:v>
                </c:pt>
                <c:pt idx="15">
                  <c:v>953</c:v>
                </c:pt>
                <c:pt idx="16">
                  <c:v>883</c:v>
                </c:pt>
                <c:pt idx="17">
                  <c:v>674</c:v>
                </c:pt>
                <c:pt idx="18">
                  <c:v>1572</c:v>
                </c:pt>
                <c:pt idx="19">
                  <c:v>1844</c:v>
                </c:pt>
                <c:pt idx="20">
                  <c:v>1468</c:v>
                </c:pt>
                <c:pt idx="21">
                  <c:v>888</c:v>
                </c:pt>
                <c:pt idx="22">
                  <c:v>836</c:v>
                </c:pt>
                <c:pt idx="23">
                  <c:v>1330</c:v>
                </c:pt>
                <c:pt idx="24">
                  <c:v>1799</c:v>
                </c:pt>
                <c:pt idx="25">
                  <c:v>472</c:v>
                </c:pt>
                <c:pt idx="26">
                  <c:v>416</c:v>
                </c:pt>
                <c:pt idx="27">
                  <c:v>1129</c:v>
                </c:pt>
                <c:pt idx="28">
                  <c:v>975</c:v>
                </c:pt>
                <c:pt idx="29">
                  <c:v>956</c:v>
                </c:pt>
                <c:pt idx="30">
                  <c:v>1459</c:v>
                </c:pt>
                <c:pt idx="31">
                  <c:v>1313</c:v>
                </c:pt>
                <c:pt idx="32">
                  <c:v>1454</c:v>
                </c:pt>
                <c:pt idx="33">
                  <c:v>1489</c:v>
                </c:pt>
                <c:pt idx="34">
                  <c:v>1620</c:v>
                </c:pt>
                <c:pt idx="35">
                  <c:v>905</c:v>
                </c:pt>
                <c:pt idx="36">
                  <c:v>1269</c:v>
                </c:pt>
                <c:pt idx="37">
                  <c:v>1592</c:v>
                </c:pt>
                <c:pt idx="38">
                  <c:v>1466</c:v>
                </c:pt>
                <c:pt idx="39">
                  <c:v>1552</c:v>
                </c:pt>
                <c:pt idx="40">
                  <c:v>1491</c:v>
                </c:pt>
                <c:pt idx="41">
                  <c:v>1597</c:v>
                </c:pt>
                <c:pt idx="42">
                  <c:v>1184</c:v>
                </c:pt>
                <c:pt idx="43">
                  <c:v>1192</c:v>
                </c:pt>
                <c:pt idx="44">
                  <c:v>143</c:v>
                </c:pt>
              </c:numCache>
            </c:numRef>
          </c:val>
          <c:extLst>
            <c:ext xmlns:c16="http://schemas.microsoft.com/office/drawing/2014/chart" uri="{C3380CC4-5D6E-409C-BE32-E72D297353CC}">
              <c16:uniqueId val="{00000000-7A84-4D0C-A0D8-9FF3AB8B495A}"/>
            </c:ext>
          </c:extLst>
        </c:ser>
        <c:ser>
          <c:idx val="1"/>
          <c:order val="1"/>
          <c:tx>
            <c:strRef>
              <c:f>'PIVOT CHARTS'!$C$30</c:f>
              <c:strCache>
                <c:ptCount val="1"/>
                <c:pt idx="0">
                  <c:v>Sum of casual</c:v>
                </c:pt>
              </c:strCache>
            </c:strRef>
          </c:tx>
          <c:spPr>
            <a:solidFill>
              <a:schemeClr val="accent2"/>
            </a:solidFill>
            <a:ln>
              <a:noFill/>
            </a:ln>
            <a:effectLst/>
            <a:sp3d/>
          </c:spPr>
          <c:invertIfNegative val="0"/>
          <c:cat>
            <c:strRef>
              <c:f>'PIVOT CHARTS'!$A$31:$A$76</c:f>
              <c:strCache>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Cache>
            </c:strRef>
          </c:cat>
          <c:val>
            <c:numRef>
              <c:f>'PIVOT CHARTS'!$C$31:$C$76</c:f>
              <c:numCache>
                <c:formatCode>General</c:formatCode>
                <c:ptCount val="45"/>
                <c:pt idx="0">
                  <c:v>331</c:v>
                </c:pt>
                <c:pt idx="1">
                  <c:v>131</c:v>
                </c:pt>
                <c:pt idx="2">
                  <c:v>120</c:v>
                </c:pt>
                <c:pt idx="3">
                  <c:v>108</c:v>
                </c:pt>
                <c:pt idx="4">
                  <c:v>82</c:v>
                </c:pt>
                <c:pt idx="5">
                  <c:v>88</c:v>
                </c:pt>
                <c:pt idx="6">
                  <c:v>148</c:v>
                </c:pt>
                <c:pt idx="7">
                  <c:v>68</c:v>
                </c:pt>
                <c:pt idx="8">
                  <c:v>54</c:v>
                </c:pt>
                <c:pt idx="9">
                  <c:v>41</c:v>
                </c:pt>
                <c:pt idx="10">
                  <c:v>43</c:v>
                </c:pt>
                <c:pt idx="11">
                  <c:v>25</c:v>
                </c:pt>
                <c:pt idx="12">
                  <c:v>38</c:v>
                </c:pt>
                <c:pt idx="13">
                  <c:v>54</c:v>
                </c:pt>
                <c:pt idx="14">
                  <c:v>222</c:v>
                </c:pt>
                <c:pt idx="15">
                  <c:v>251</c:v>
                </c:pt>
                <c:pt idx="16">
                  <c:v>117</c:v>
                </c:pt>
                <c:pt idx="17">
                  <c:v>9</c:v>
                </c:pt>
                <c:pt idx="18">
                  <c:v>78</c:v>
                </c:pt>
                <c:pt idx="19">
                  <c:v>83</c:v>
                </c:pt>
                <c:pt idx="20">
                  <c:v>75</c:v>
                </c:pt>
                <c:pt idx="21">
                  <c:v>93</c:v>
                </c:pt>
                <c:pt idx="22">
                  <c:v>150</c:v>
                </c:pt>
                <c:pt idx="23">
                  <c:v>86</c:v>
                </c:pt>
                <c:pt idx="24">
                  <c:v>186</c:v>
                </c:pt>
                <c:pt idx="25">
                  <c:v>34</c:v>
                </c:pt>
                <c:pt idx="26">
                  <c:v>15</c:v>
                </c:pt>
                <c:pt idx="27">
                  <c:v>38</c:v>
                </c:pt>
                <c:pt idx="28">
                  <c:v>123</c:v>
                </c:pt>
                <c:pt idx="29">
                  <c:v>140</c:v>
                </c:pt>
                <c:pt idx="30">
                  <c:v>42</c:v>
                </c:pt>
                <c:pt idx="31">
                  <c:v>47</c:v>
                </c:pt>
                <c:pt idx="32">
                  <c:v>72</c:v>
                </c:pt>
                <c:pt idx="33">
                  <c:v>61</c:v>
                </c:pt>
                <c:pt idx="34">
                  <c:v>88</c:v>
                </c:pt>
                <c:pt idx="35">
                  <c:v>100</c:v>
                </c:pt>
                <c:pt idx="36">
                  <c:v>354</c:v>
                </c:pt>
                <c:pt idx="37">
                  <c:v>120</c:v>
                </c:pt>
                <c:pt idx="38">
                  <c:v>64</c:v>
                </c:pt>
                <c:pt idx="39">
                  <c:v>53</c:v>
                </c:pt>
                <c:pt idx="40">
                  <c:v>47</c:v>
                </c:pt>
                <c:pt idx="41">
                  <c:v>149</c:v>
                </c:pt>
                <c:pt idx="42">
                  <c:v>288</c:v>
                </c:pt>
                <c:pt idx="43">
                  <c:v>397</c:v>
                </c:pt>
                <c:pt idx="44">
                  <c:v>8</c:v>
                </c:pt>
              </c:numCache>
            </c:numRef>
          </c:val>
          <c:extLst>
            <c:ext xmlns:c16="http://schemas.microsoft.com/office/drawing/2014/chart" uri="{C3380CC4-5D6E-409C-BE32-E72D297353CC}">
              <c16:uniqueId val="{00000001-7A84-4D0C-A0D8-9FF3AB8B495A}"/>
            </c:ext>
          </c:extLst>
        </c:ser>
        <c:ser>
          <c:idx val="2"/>
          <c:order val="2"/>
          <c:tx>
            <c:strRef>
              <c:f>'PIVOT CHARTS'!$D$30</c:f>
              <c:strCache>
                <c:ptCount val="1"/>
                <c:pt idx="0">
                  <c:v>Sum of atemp</c:v>
                </c:pt>
              </c:strCache>
            </c:strRef>
          </c:tx>
          <c:spPr>
            <a:solidFill>
              <a:schemeClr val="accent3"/>
            </a:solidFill>
            <a:ln>
              <a:noFill/>
            </a:ln>
            <a:effectLst/>
            <a:sp3d/>
          </c:spPr>
          <c:invertIfNegative val="0"/>
          <c:cat>
            <c:strRef>
              <c:f>'PIVOT CHARTS'!$A$31:$A$76</c:f>
              <c:strCache>
                <c:ptCount val="4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strCache>
            </c:strRef>
          </c:cat>
          <c:val>
            <c:numRef>
              <c:f>'PIVOT CHARTS'!$D$31:$D$76</c:f>
              <c:numCache>
                <c:formatCode>General</c:formatCode>
                <c:ptCount val="45"/>
                <c:pt idx="0">
                  <c:v>7.5452000000000012</c:v>
                </c:pt>
                <c:pt idx="1">
                  <c:v>6.6664000000000003</c:v>
                </c:pt>
                <c:pt idx="2">
                  <c:v>3.5608</c:v>
                </c:pt>
                <c:pt idx="3">
                  <c:v>4.6970000000000001</c:v>
                </c:pt>
                <c:pt idx="4">
                  <c:v>5.2732000000000001</c:v>
                </c:pt>
                <c:pt idx="5">
                  <c:v>5.3638000000000012</c:v>
                </c:pt>
                <c:pt idx="6">
                  <c:v>4.8033000000000001</c:v>
                </c:pt>
                <c:pt idx="7">
                  <c:v>3.8941000000000003</c:v>
                </c:pt>
                <c:pt idx="8">
                  <c:v>2.7882000000000007</c:v>
                </c:pt>
                <c:pt idx="9">
                  <c:v>3.6213000000000002</c:v>
                </c:pt>
                <c:pt idx="10">
                  <c:v>4.2122000000000002</c:v>
                </c:pt>
                <c:pt idx="11">
                  <c:v>3.5304000000000002</c:v>
                </c:pt>
                <c:pt idx="12">
                  <c:v>3.6212</c:v>
                </c:pt>
                <c:pt idx="13">
                  <c:v>4.3334999999999999</c:v>
                </c:pt>
                <c:pt idx="14">
                  <c:v>5.9546999999999999</c:v>
                </c:pt>
                <c:pt idx="15">
                  <c:v>5.6212000000000009</c:v>
                </c:pt>
                <c:pt idx="16">
                  <c:v>4.2425000000000006</c:v>
                </c:pt>
                <c:pt idx="17">
                  <c:v>2.7880000000000003</c:v>
                </c:pt>
                <c:pt idx="18">
                  <c:v>6.8637000000000006</c:v>
                </c:pt>
                <c:pt idx="19">
                  <c:v>6.1212</c:v>
                </c:pt>
                <c:pt idx="20">
                  <c:v>3.7880000000000003</c:v>
                </c:pt>
                <c:pt idx="21">
                  <c:v>1.8186000000000002</c:v>
                </c:pt>
                <c:pt idx="22">
                  <c:v>2.2733000000000003</c:v>
                </c:pt>
                <c:pt idx="23">
                  <c:v>2.7124000000000006</c:v>
                </c:pt>
                <c:pt idx="24">
                  <c:v>5.3940999999999981</c:v>
                </c:pt>
                <c:pt idx="25">
                  <c:v>3.2576000000000001</c:v>
                </c:pt>
                <c:pt idx="26">
                  <c:v>1.7576000000000001</c:v>
                </c:pt>
                <c:pt idx="27">
                  <c:v>5.1362999999999994</c:v>
                </c:pt>
                <c:pt idx="28">
                  <c:v>4.8789000000000016</c:v>
                </c:pt>
                <c:pt idx="29">
                  <c:v>5.7573999999999996</c:v>
                </c:pt>
                <c:pt idx="30">
                  <c:v>4.4700000000000006</c:v>
                </c:pt>
                <c:pt idx="31">
                  <c:v>5.3941999999999997</c:v>
                </c:pt>
                <c:pt idx="32">
                  <c:v>6.1059999999999999</c:v>
                </c:pt>
                <c:pt idx="33">
                  <c:v>4.0911999999999997</c:v>
                </c:pt>
                <c:pt idx="34">
                  <c:v>5.2574999999999994</c:v>
                </c:pt>
                <c:pt idx="35">
                  <c:v>5.8334000000000001</c:v>
                </c:pt>
                <c:pt idx="36">
                  <c:v>7.0000999999999971</c:v>
                </c:pt>
                <c:pt idx="37">
                  <c:v>7.2878000000000007</c:v>
                </c:pt>
                <c:pt idx="38">
                  <c:v>4.7578999999999994</c:v>
                </c:pt>
                <c:pt idx="39">
                  <c:v>3.3185000000000002</c:v>
                </c:pt>
                <c:pt idx="40">
                  <c:v>3.4396</c:v>
                </c:pt>
                <c:pt idx="41">
                  <c:v>4.6971999999999996</c:v>
                </c:pt>
                <c:pt idx="42">
                  <c:v>5.5908999999999995</c:v>
                </c:pt>
                <c:pt idx="43">
                  <c:v>7.4546000000000028</c:v>
                </c:pt>
                <c:pt idx="44">
                  <c:v>2.6513</c:v>
                </c:pt>
              </c:numCache>
            </c:numRef>
          </c:val>
          <c:extLst>
            <c:ext xmlns:c16="http://schemas.microsoft.com/office/drawing/2014/chart" uri="{C3380CC4-5D6E-409C-BE32-E72D297353CC}">
              <c16:uniqueId val="{00000002-7A84-4D0C-A0D8-9FF3AB8B495A}"/>
            </c:ext>
          </c:extLst>
        </c:ser>
        <c:dLbls>
          <c:showLegendKey val="0"/>
          <c:showVal val="0"/>
          <c:showCatName val="0"/>
          <c:showSerName val="0"/>
          <c:showPercent val="0"/>
          <c:showBubbleSize val="0"/>
        </c:dLbls>
        <c:gapWidth val="150"/>
        <c:shape val="box"/>
        <c:axId val="1072245008"/>
        <c:axId val="1072212976"/>
        <c:axId val="0"/>
      </c:bar3DChart>
      <c:catAx>
        <c:axId val="1072245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212976"/>
        <c:crosses val="autoZero"/>
        <c:auto val="1"/>
        <c:lblAlgn val="ctr"/>
        <c:lblOffset val="100"/>
        <c:noMultiLvlLbl val="0"/>
      </c:catAx>
      <c:valAx>
        <c:axId val="1072212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245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[dataset.xlsx]DETAILED ANALYSIS!PivotTable5</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711671530569183E-2"/>
          <c:y val="0.13323855351414407"/>
          <c:w val="0.73126164124589321"/>
          <c:h val="0.65853091280256637"/>
        </c:manualLayout>
      </c:layout>
      <c:barChart>
        <c:barDir val="col"/>
        <c:grouping val="clustered"/>
        <c:varyColors val="0"/>
        <c:ser>
          <c:idx val="0"/>
          <c:order val="0"/>
          <c:tx>
            <c:strRef>
              <c:f>'DETAILED ANALYSIS'!$B$5</c:f>
              <c:strCache>
                <c:ptCount val="1"/>
                <c:pt idx="0">
                  <c:v>Sum of weathersit</c:v>
                </c:pt>
              </c:strCache>
            </c:strRef>
          </c:tx>
          <c:spPr>
            <a:solidFill>
              <a:schemeClr val="accent1"/>
            </a:solidFill>
            <a:ln>
              <a:noFill/>
            </a:ln>
            <a:effectLst/>
          </c:spPr>
          <c:invertIfNegative val="0"/>
          <c:cat>
            <c:strRef>
              <c:f>'DETAILED ANALYSIS'!$A$6:$A$8</c:f>
              <c:strCache>
                <c:ptCount val="2"/>
                <c:pt idx="0">
                  <c:v>Jan</c:v>
                </c:pt>
                <c:pt idx="1">
                  <c:v>Feb</c:v>
                </c:pt>
              </c:strCache>
            </c:strRef>
          </c:cat>
          <c:val>
            <c:numRef>
              <c:f>'DETAILED ANALYSIS'!$B$6:$B$8</c:f>
              <c:numCache>
                <c:formatCode>General</c:formatCode>
                <c:ptCount val="2"/>
                <c:pt idx="0">
                  <c:v>175</c:v>
                </c:pt>
                <c:pt idx="1">
                  <c:v>81</c:v>
                </c:pt>
              </c:numCache>
            </c:numRef>
          </c:val>
          <c:extLst>
            <c:ext xmlns:c16="http://schemas.microsoft.com/office/drawing/2014/chart" uri="{C3380CC4-5D6E-409C-BE32-E72D297353CC}">
              <c16:uniqueId val="{00000000-80CA-4AC3-9548-801DDE6EDFF9}"/>
            </c:ext>
          </c:extLst>
        </c:ser>
        <c:ser>
          <c:idx val="1"/>
          <c:order val="1"/>
          <c:tx>
            <c:strRef>
              <c:f>'DETAILED ANALYSIS'!$C$5</c:f>
              <c:strCache>
                <c:ptCount val="1"/>
                <c:pt idx="0">
                  <c:v>Sum of temp</c:v>
                </c:pt>
              </c:strCache>
            </c:strRef>
          </c:tx>
          <c:spPr>
            <a:solidFill>
              <a:schemeClr val="accent2"/>
            </a:solidFill>
            <a:ln>
              <a:noFill/>
            </a:ln>
            <a:effectLst/>
          </c:spPr>
          <c:invertIfNegative val="0"/>
          <c:cat>
            <c:strRef>
              <c:f>'DETAILED ANALYSIS'!$A$6:$A$8</c:f>
              <c:strCache>
                <c:ptCount val="2"/>
                <c:pt idx="0">
                  <c:v>Jan</c:v>
                </c:pt>
                <c:pt idx="1">
                  <c:v>Feb</c:v>
                </c:pt>
              </c:strCache>
            </c:strRef>
          </c:cat>
          <c:val>
            <c:numRef>
              <c:f>'DETAILED ANALYSIS'!$C$6:$C$8</c:f>
              <c:numCache>
                <c:formatCode>General</c:formatCode>
                <c:ptCount val="2"/>
                <c:pt idx="0">
                  <c:v>23.700000000000003</c:v>
                </c:pt>
                <c:pt idx="1">
                  <c:v>10.939999999999998</c:v>
                </c:pt>
              </c:numCache>
            </c:numRef>
          </c:val>
          <c:extLst>
            <c:ext xmlns:c16="http://schemas.microsoft.com/office/drawing/2014/chart" uri="{C3380CC4-5D6E-409C-BE32-E72D297353CC}">
              <c16:uniqueId val="{00000001-80CA-4AC3-9548-801DDE6EDFF9}"/>
            </c:ext>
          </c:extLst>
        </c:ser>
        <c:ser>
          <c:idx val="2"/>
          <c:order val="2"/>
          <c:tx>
            <c:strRef>
              <c:f>'DETAILED ANALYSIS'!$D$5</c:f>
              <c:strCache>
                <c:ptCount val="1"/>
                <c:pt idx="0">
                  <c:v>Sum of atemp</c:v>
                </c:pt>
              </c:strCache>
            </c:strRef>
          </c:tx>
          <c:spPr>
            <a:solidFill>
              <a:schemeClr val="accent3"/>
            </a:solidFill>
            <a:ln>
              <a:noFill/>
            </a:ln>
            <a:effectLst/>
          </c:spPr>
          <c:invertIfNegative val="0"/>
          <c:cat>
            <c:strRef>
              <c:f>'DETAILED ANALYSIS'!$A$6:$A$8</c:f>
              <c:strCache>
                <c:ptCount val="2"/>
                <c:pt idx="0">
                  <c:v>Jan</c:v>
                </c:pt>
                <c:pt idx="1">
                  <c:v>Feb</c:v>
                </c:pt>
              </c:strCache>
            </c:strRef>
          </c:cat>
          <c:val>
            <c:numRef>
              <c:f>'DETAILED ANALYSIS'!$D$6:$D$8</c:f>
              <c:numCache>
                <c:formatCode>General</c:formatCode>
                <c:ptCount val="2"/>
                <c:pt idx="0">
                  <c:v>24.091499999999986</c:v>
                </c:pt>
                <c:pt idx="1">
                  <c:v>11.424299999999997</c:v>
                </c:pt>
              </c:numCache>
            </c:numRef>
          </c:val>
          <c:extLst>
            <c:ext xmlns:c16="http://schemas.microsoft.com/office/drawing/2014/chart" uri="{C3380CC4-5D6E-409C-BE32-E72D297353CC}">
              <c16:uniqueId val="{00000002-80CA-4AC3-9548-801DDE6EDFF9}"/>
            </c:ext>
          </c:extLst>
        </c:ser>
        <c:ser>
          <c:idx val="3"/>
          <c:order val="3"/>
          <c:tx>
            <c:strRef>
              <c:f>'DETAILED ANALYSIS'!$E$5</c:f>
              <c:strCache>
                <c:ptCount val="1"/>
                <c:pt idx="0">
                  <c:v>Sum of hum</c:v>
                </c:pt>
              </c:strCache>
            </c:strRef>
          </c:tx>
          <c:spPr>
            <a:solidFill>
              <a:schemeClr val="accent4"/>
            </a:solidFill>
            <a:ln>
              <a:noFill/>
            </a:ln>
            <a:effectLst/>
          </c:spPr>
          <c:invertIfNegative val="0"/>
          <c:cat>
            <c:strRef>
              <c:f>'DETAILED ANALYSIS'!$A$6:$A$8</c:f>
              <c:strCache>
                <c:ptCount val="2"/>
                <c:pt idx="0">
                  <c:v>Jan</c:v>
                </c:pt>
                <c:pt idx="1">
                  <c:v>Feb</c:v>
                </c:pt>
              </c:strCache>
            </c:strRef>
          </c:cat>
          <c:val>
            <c:numRef>
              <c:f>'DETAILED ANALYSIS'!$E$6:$E$8</c:f>
              <c:numCache>
                <c:formatCode>General</c:formatCode>
                <c:ptCount val="2"/>
                <c:pt idx="0">
                  <c:v>68.360000000000014</c:v>
                </c:pt>
                <c:pt idx="1">
                  <c:v>35.36</c:v>
                </c:pt>
              </c:numCache>
            </c:numRef>
          </c:val>
          <c:extLst>
            <c:ext xmlns:c16="http://schemas.microsoft.com/office/drawing/2014/chart" uri="{C3380CC4-5D6E-409C-BE32-E72D297353CC}">
              <c16:uniqueId val="{00000003-80CA-4AC3-9548-801DDE6EDFF9}"/>
            </c:ext>
          </c:extLst>
        </c:ser>
        <c:ser>
          <c:idx val="4"/>
          <c:order val="4"/>
          <c:tx>
            <c:strRef>
              <c:f>'DETAILED ANALYSIS'!$F$5</c:f>
              <c:strCache>
                <c:ptCount val="1"/>
                <c:pt idx="0">
                  <c:v>Sum of windspeed</c:v>
                </c:pt>
              </c:strCache>
            </c:strRef>
          </c:tx>
          <c:spPr>
            <a:solidFill>
              <a:schemeClr val="accent5"/>
            </a:solidFill>
            <a:ln>
              <a:noFill/>
            </a:ln>
            <a:effectLst/>
          </c:spPr>
          <c:invertIfNegative val="0"/>
          <c:cat>
            <c:strRef>
              <c:f>'DETAILED ANALYSIS'!$A$6:$A$8</c:f>
              <c:strCache>
                <c:ptCount val="2"/>
                <c:pt idx="0">
                  <c:v>Jan</c:v>
                </c:pt>
                <c:pt idx="1">
                  <c:v>Feb</c:v>
                </c:pt>
              </c:strCache>
            </c:strRef>
          </c:cat>
          <c:val>
            <c:numRef>
              <c:f>'DETAILED ANALYSIS'!$F$6:$F$8</c:f>
              <c:numCache>
                <c:formatCode>General</c:formatCode>
                <c:ptCount val="2"/>
                <c:pt idx="0">
                  <c:v>30.319450000000018</c:v>
                </c:pt>
                <c:pt idx="1">
                  <c:v>12.545299999999996</c:v>
                </c:pt>
              </c:numCache>
            </c:numRef>
          </c:val>
          <c:extLst>
            <c:ext xmlns:c16="http://schemas.microsoft.com/office/drawing/2014/chart" uri="{C3380CC4-5D6E-409C-BE32-E72D297353CC}">
              <c16:uniqueId val="{00000004-80CA-4AC3-9548-801DDE6EDFF9}"/>
            </c:ext>
          </c:extLst>
        </c:ser>
        <c:ser>
          <c:idx val="5"/>
          <c:order val="5"/>
          <c:tx>
            <c:strRef>
              <c:f>'DETAILED ANALYSIS'!$G$5</c:f>
              <c:strCache>
                <c:ptCount val="1"/>
                <c:pt idx="0">
                  <c:v>Sum of cnt</c:v>
                </c:pt>
              </c:strCache>
            </c:strRef>
          </c:tx>
          <c:spPr>
            <a:solidFill>
              <a:schemeClr val="accent6"/>
            </a:solidFill>
            <a:ln>
              <a:noFill/>
            </a:ln>
            <a:effectLst/>
          </c:spPr>
          <c:invertIfNegative val="0"/>
          <c:cat>
            <c:strRef>
              <c:f>'DETAILED ANALYSIS'!$A$6:$A$8</c:f>
              <c:strCache>
                <c:ptCount val="2"/>
                <c:pt idx="0">
                  <c:v>Jan</c:v>
                </c:pt>
                <c:pt idx="1">
                  <c:v>Feb</c:v>
                </c:pt>
              </c:strCache>
            </c:strRef>
          </c:cat>
          <c:val>
            <c:numRef>
              <c:f>'DETAILED ANALYSIS'!$G$6:$G$8</c:f>
              <c:numCache>
                <c:formatCode>General</c:formatCode>
                <c:ptCount val="2"/>
                <c:pt idx="0">
                  <c:v>5271</c:v>
                </c:pt>
                <c:pt idx="1">
                  <c:v>2477</c:v>
                </c:pt>
              </c:numCache>
            </c:numRef>
          </c:val>
          <c:extLst>
            <c:ext xmlns:c16="http://schemas.microsoft.com/office/drawing/2014/chart" uri="{C3380CC4-5D6E-409C-BE32-E72D297353CC}">
              <c16:uniqueId val="{00000005-80CA-4AC3-9548-801DDE6EDFF9}"/>
            </c:ext>
          </c:extLst>
        </c:ser>
        <c:ser>
          <c:idx val="6"/>
          <c:order val="6"/>
          <c:tx>
            <c:strRef>
              <c:f>'DETAILED ANALYSIS'!$H$5</c:f>
              <c:strCache>
                <c:ptCount val="1"/>
                <c:pt idx="0">
                  <c:v>Sum of registered</c:v>
                </c:pt>
              </c:strCache>
            </c:strRef>
          </c:tx>
          <c:spPr>
            <a:solidFill>
              <a:schemeClr val="accent1">
                <a:lumMod val="60000"/>
              </a:schemeClr>
            </a:solidFill>
            <a:ln>
              <a:noFill/>
            </a:ln>
            <a:effectLst/>
          </c:spPr>
          <c:invertIfNegative val="0"/>
          <c:cat>
            <c:strRef>
              <c:f>'DETAILED ANALYSIS'!$A$6:$A$8</c:f>
              <c:strCache>
                <c:ptCount val="2"/>
                <c:pt idx="0">
                  <c:v>Jan</c:v>
                </c:pt>
                <c:pt idx="1">
                  <c:v>Feb</c:v>
                </c:pt>
              </c:strCache>
            </c:strRef>
          </c:cat>
          <c:val>
            <c:numRef>
              <c:f>'DETAILED ANALYSIS'!$H$6:$H$8</c:f>
              <c:numCache>
                <c:formatCode>General</c:formatCode>
                <c:ptCount val="2"/>
                <c:pt idx="0">
                  <c:v>4434</c:v>
                </c:pt>
                <c:pt idx="1">
                  <c:v>2089</c:v>
                </c:pt>
              </c:numCache>
            </c:numRef>
          </c:val>
          <c:extLst>
            <c:ext xmlns:c16="http://schemas.microsoft.com/office/drawing/2014/chart" uri="{C3380CC4-5D6E-409C-BE32-E72D297353CC}">
              <c16:uniqueId val="{00000006-80CA-4AC3-9548-801DDE6EDFF9}"/>
            </c:ext>
          </c:extLst>
        </c:ser>
        <c:ser>
          <c:idx val="7"/>
          <c:order val="7"/>
          <c:tx>
            <c:strRef>
              <c:f>'DETAILED ANALYSIS'!$I$5</c:f>
              <c:strCache>
                <c:ptCount val="1"/>
                <c:pt idx="0">
                  <c:v>Sum of casual</c:v>
                </c:pt>
              </c:strCache>
            </c:strRef>
          </c:tx>
          <c:spPr>
            <a:solidFill>
              <a:schemeClr val="accent2">
                <a:lumMod val="60000"/>
              </a:schemeClr>
            </a:solidFill>
            <a:ln>
              <a:noFill/>
            </a:ln>
            <a:effectLst/>
          </c:spPr>
          <c:invertIfNegative val="0"/>
          <c:cat>
            <c:strRef>
              <c:f>'DETAILED ANALYSIS'!$A$6:$A$8</c:f>
              <c:strCache>
                <c:ptCount val="2"/>
                <c:pt idx="0">
                  <c:v>Jan</c:v>
                </c:pt>
                <c:pt idx="1">
                  <c:v>Feb</c:v>
                </c:pt>
              </c:strCache>
            </c:strRef>
          </c:cat>
          <c:val>
            <c:numRef>
              <c:f>'DETAILED ANALYSIS'!$I$6:$I$8</c:f>
              <c:numCache>
                <c:formatCode>General</c:formatCode>
                <c:ptCount val="2"/>
                <c:pt idx="0">
                  <c:v>837</c:v>
                </c:pt>
                <c:pt idx="1">
                  <c:v>388</c:v>
                </c:pt>
              </c:numCache>
            </c:numRef>
          </c:val>
          <c:extLst>
            <c:ext xmlns:c16="http://schemas.microsoft.com/office/drawing/2014/chart" uri="{C3380CC4-5D6E-409C-BE32-E72D297353CC}">
              <c16:uniqueId val="{00000007-80CA-4AC3-9548-801DDE6EDFF9}"/>
            </c:ext>
          </c:extLst>
        </c:ser>
        <c:dLbls>
          <c:showLegendKey val="0"/>
          <c:showVal val="0"/>
          <c:showCatName val="0"/>
          <c:showSerName val="0"/>
          <c:showPercent val="0"/>
          <c:showBubbleSize val="0"/>
        </c:dLbls>
        <c:gapWidth val="219"/>
        <c:overlap val="-27"/>
        <c:axId val="429618143"/>
        <c:axId val="429635615"/>
      </c:barChart>
      <c:catAx>
        <c:axId val="429618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635615"/>
        <c:crosses val="autoZero"/>
        <c:auto val="1"/>
        <c:lblAlgn val="ctr"/>
        <c:lblOffset val="100"/>
        <c:noMultiLvlLbl val="0"/>
      </c:catAx>
      <c:valAx>
        <c:axId val="42963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618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47625</xdr:colOff>
      <xdr:row>10</xdr:row>
      <xdr:rowOff>80962</xdr:rowOff>
    </xdr:from>
    <xdr:to>
      <xdr:col>4</xdr:col>
      <xdr:colOff>1000125</xdr:colOff>
      <xdr:row>24</xdr:row>
      <xdr:rowOff>157162</xdr:rowOff>
    </xdr:to>
    <xdr:graphicFrame macro="">
      <xdr:nvGraphicFramePr>
        <xdr:cNvPr id="2" name="Chart 1">
          <a:extLst>
            <a:ext uri="{FF2B5EF4-FFF2-40B4-BE49-F238E27FC236}">
              <a16:creationId xmlns:a16="http://schemas.microsoft.com/office/drawing/2014/main" id="{BD86F507-1DD7-45F9-B486-CB706521E3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507206</xdr:colOff>
      <xdr:row>32</xdr:row>
      <xdr:rowOff>171449</xdr:rowOff>
    </xdr:from>
    <xdr:to>
      <xdr:col>19</xdr:col>
      <xdr:colOff>2381</xdr:colOff>
      <xdr:row>49</xdr:row>
      <xdr:rowOff>97631</xdr:rowOff>
    </xdr:to>
    <xdr:graphicFrame macro="">
      <xdr:nvGraphicFramePr>
        <xdr:cNvPr id="3" name="Chart 2">
          <a:extLst>
            <a:ext uri="{FF2B5EF4-FFF2-40B4-BE49-F238E27FC236}">
              <a16:creationId xmlns:a16="http://schemas.microsoft.com/office/drawing/2014/main" id="{4D2EB7D9-28E3-4C84-AB06-01B0AB0D2E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257175</xdr:colOff>
      <xdr:row>79</xdr:row>
      <xdr:rowOff>176212</xdr:rowOff>
    </xdr:from>
    <xdr:to>
      <xdr:col>16</xdr:col>
      <xdr:colOff>85725</xdr:colOff>
      <xdr:row>91</xdr:row>
      <xdr:rowOff>38100</xdr:rowOff>
    </xdr:to>
    <xdr:graphicFrame macro="">
      <xdr:nvGraphicFramePr>
        <xdr:cNvPr id="4" name="Chart 3">
          <a:extLst>
            <a:ext uri="{FF2B5EF4-FFF2-40B4-BE49-F238E27FC236}">
              <a16:creationId xmlns:a16="http://schemas.microsoft.com/office/drawing/2014/main" id="{535B104E-97D4-4CCC-B21E-B48FAA0C14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184547</xdr:colOff>
      <xdr:row>1</xdr:row>
      <xdr:rowOff>158353</xdr:rowOff>
    </xdr:from>
    <xdr:to>
      <xdr:col>21</xdr:col>
      <xdr:colOff>160734</xdr:colOff>
      <xdr:row>15</xdr:row>
      <xdr:rowOff>67865</xdr:rowOff>
    </xdr:to>
    <xdr:graphicFrame macro="">
      <xdr:nvGraphicFramePr>
        <xdr:cNvPr id="5" name="Chart 4">
          <a:extLst>
            <a:ext uri="{FF2B5EF4-FFF2-40B4-BE49-F238E27FC236}">
              <a16:creationId xmlns:a16="http://schemas.microsoft.com/office/drawing/2014/main" id="{739E6CD3-EC92-4B8A-A26A-840793F18D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233362</xdr:colOff>
      <xdr:row>9</xdr:row>
      <xdr:rowOff>23812</xdr:rowOff>
    </xdr:from>
    <xdr:to>
      <xdr:col>7</xdr:col>
      <xdr:colOff>957262</xdr:colOff>
      <xdr:row>23</xdr:row>
      <xdr:rowOff>100012</xdr:rowOff>
    </xdr:to>
    <xdr:graphicFrame macro="">
      <xdr:nvGraphicFramePr>
        <xdr:cNvPr id="2" name="Chart 1">
          <a:extLst>
            <a:ext uri="{FF2B5EF4-FFF2-40B4-BE49-F238E27FC236}">
              <a16:creationId xmlns:a16="http://schemas.microsoft.com/office/drawing/2014/main" id="{6F628867-C024-4CC5-A1BA-5BDE40F0DF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981075</xdr:colOff>
      <xdr:row>9</xdr:row>
      <xdr:rowOff>14287</xdr:rowOff>
    </xdr:from>
    <xdr:to>
      <xdr:col>13</xdr:col>
      <xdr:colOff>47625</xdr:colOff>
      <xdr:row>23</xdr:row>
      <xdr:rowOff>90487</xdr:rowOff>
    </xdr:to>
    <xdr:graphicFrame macro="">
      <xdr:nvGraphicFramePr>
        <xdr:cNvPr id="3" name="Chart 2">
          <a:extLst>
            <a:ext uri="{FF2B5EF4-FFF2-40B4-BE49-F238E27FC236}">
              <a16:creationId xmlns:a16="http://schemas.microsoft.com/office/drawing/2014/main" id="{A33F3D62-48E2-4B95-80FC-6C028B7FC5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266700</xdr:colOff>
      <xdr:row>4</xdr:row>
      <xdr:rowOff>47625</xdr:rowOff>
    </xdr:from>
    <xdr:to>
      <xdr:col>11</xdr:col>
      <xdr:colOff>342900</xdr:colOff>
      <xdr:row>8</xdr:row>
      <xdr:rowOff>171450</xdr:rowOff>
    </xdr:to>
    <mc:AlternateContent xmlns:mc="http://schemas.openxmlformats.org/markup-compatibility/2006">
      <mc:Choice xmlns:a14="http://schemas.microsoft.com/office/drawing/2010/main" Requires="a14">
        <xdr:graphicFrame macro="">
          <xdr:nvGraphicFramePr>
            <xdr:cNvPr id="4" name="mnth 1">
              <a:extLst>
                <a:ext uri="{FF2B5EF4-FFF2-40B4-BE49-F238E27FC236}">
                  <a16:creationId xmlns:a16="http://schemas.microsoft.com/office/drawing/2014/main" id="{17F9527A-8862-4865-8BF9-52890D0C6918}"/>
                </a:ext>
              </a:extLst>
            </xdr:cNvPr>
            <xdr:cNvGraphicFramePr/>
          </xdr:nvGraphicFramePr>
          <xdr:xfrm>
            <a:off x="0" y="0"/>
            <a:ext cx="0" cy="0"/>
          </xdr:xfrm>
          <a:graphic>
            <a:graphicData uri="http://schemas.microsoft.com/office/drawing/2010/slicer">
              <sle:slicer xmlns:sle="http://schemas.microsoft.com/office/drawing/2010/slicer" name="mnth 1"/>
            </a:graphicData>
          </a:graphic>
        </xdr:graphicFrame>
      </mc:Choice>
      <mc:Fallback>
        <xdr:sp macro="" textlink="">
          <xdr:nvSpPr>
            <xdr:cNvPr id="0" name=""/>
            <xdr:cNvSpPr>
              <a:spLocks noTextEdit="1"/>
            </xdr:cNvSpPr>
          </xdr:nvSpPr>
          <xdr:spPr>
            <a:xfrm>
              <a:off x="8658225" y="809625"/>
              <a:ext cx="1828800" cy="885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523875</xdr:colOff>
      <xdr:row>0</xdr:row>
      <xdr:rowOff>0</xdr:rowOff>
    </xdr:from>
    <xdr:to>
      <xdr:col>14</xdr:col>
      <xdr:colOff>0</xdr:colOff>
      <xdr:row>10</xdr:row>
      <xdr:rowOff>85724</xdr:rowOff>
    </xdr:to>
    <mc:AlternateContent xmlns:mc="http://schemas.openxmlformats.org/markup-compatibility/2006">
      <mc:Choice xmlns:a14="http://schemas.microsoft.com/office/drawing/2010/main" Requires="a14">
        <xdr:graphicFrame macro="">
          <xdr:nvGraphicFramePr>
            <xdr:cNvPr id="5" name="weekday">
              <a:extLst>
                <a:ext uri="{FF2B5EF4-FFF2-40B4-BE49-F238E27FC236}">
                  <a16:creationId xmlns:a16="http://schemas.microsoft.com/office/drawing/2014/main" id="{FEC39E22-436B-4626-B670-A716EE630004}"/>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dr:sp macro="" textlink="">
          <xdr:nvSpPr>
            <xdr:cNvPr id="0" name=""/>
            <xdr:cNvSpPr>
              <a:spLocks noTextEdit="1"/>
            </xdr:cNvSpPr>
          </xdr:nvSpPr>
          <xdr:spPr>
            <a:xfrm>
              <a:off x="10668000" y="0"/>
              <a:ext cx="1428750" cy="19907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504825</xdr:colOff>
      <xdr:row>23</xdr:row>
      <xdr:rowOff>114300</xdr:rowOff>
    </xdr:to>
    <xdr:grpSp>
      <xdr:nvGrpSpPr>
        <xdr:cNvPr id="38" name="Group 37">
          <a:extLst>
            <a:ext uri="{FF2B5EF4-FFF2-40B4-BE49-F238E27FC236}">
              <a16:creationId xmlns:a16="http://schemas.microsoft.com/office/drawing/2014/main" id="{BE2E7118-D2B1-4738-9FA1-02A7EA6E5B67}"/>
            </a:ext>
          </a:extLst>
        </xdr:cNvPr>
        <xdr:cNvGrpSpPr/>
      </xdr:nvGrpSpPr>
      <xdr:grpSpPr>
        <a:xfrm>
          <a:off x="0" y="0"/>
          <a:ext cx="12696825" cy="4495800"/>
          <a:chOff x="0" y="0"/>
          <a:chExt cx="9744075" cy="4705350"/>
        </a:xfrm>
      </xdr:grpSpPr>
      <xdr:sp macro="" textlink="">
        <xdr:nvSpPr>
          <xdr:cNvPr id="28" name="Rectangle 27">
            <a:extLst>
              <a:ext uri="{FF2B5EF4-FFF2-40B4-BE49-F238E27FC236}">
                <a16:creationId xmlns:a16="http://schemas.microsoft.com/office/drawing/2014/main" id="{3B006884-44C1-4091-AA29-215D1D3ED2D9}"/>
              </a:ext>
            </a:extLst>
          </xdr:cNvPr>
          <xdr:cNvSpPr/>
        </xdr:nvSpPr>
        <xdr:spPr>
          <a:xfrm>
            <a:off x="1776302" y="0"/>
            <a:ext cx="7958249" cy="465550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4" name="Rectangle: Rounded Corners 23">
            <a:extLst>
              <a:ext uri="{FF2B5EF4-FFF2-40B4-BE49-F238E27FC236}">
                <a16:creationId xmlns:a16="http://schemas.microsoft.com/office/drawing/2014/main" id="{C9BD10A3-0178-49D0-B3E3-662E3754B909}"/>
              </a:ext>
            </a:extLst>
          </xdr:cNvPr>
          <xdr:cNvSpPr/>
        </xdr:nvSpPr>
        <xdr:spPr>
          <a:xfrm>
            <a:off x="0" y="0"/>
            <a:ext cx="1800226" cy="47053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7" name="Chart 16">
            <a:extLst>
              <a:ext uri="{FF2B5EF4-FFF2-40B4-BE49-F238E27FC236}">
                <a16:creationId xmlns:a16="http://schemas.microsoft.com/office/drawing/2014/main" id="{60C9AADD-4E8D-4E60-88E4-EB9CA027AEC9}"/>
              </a:ext>
            </a:extLst>
          </xdr:cNvPr>
          <xdr:cNvGraphicFramePr>
            <a:graphicFrameLocks/>
          </xdr:cNvGraphicFramePr>
        </xdr:nvGraphicFramePr>
        <xdr:xfrm>
          <a:off x="1876425" y="647700"/>
          <a:ext cx="2800350" cy="20955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8" name="Chart 17">
            <a:extLst>
              <a:ext uri="{FF2B5EF4-FFF2-40B4-BE49-F238E27FC236}">
                <a16:creationId xmlns:a16="http://schemas.microsoft.com/office/drawing/2014/main" id="{0C31075E-2B30-4A90-BFEC-A11DDAF40365}"/>
              </a:ext>
            </a:extLst>
          </xdr:cNvPr>
          <xdr:cNvGraphicFramePr>
            <a:graphicFrameLocks/>
          </xdr:cNvGraphicFramePr>
        </xdr:nvGraphicFramePr>
        <xdr:xfrm>
          <a:off x="4714875" y="657225"/>
          <a:ext cx="3362325" cy="20955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9" name="Chart 18">
            <a:extLst>
              <a:ext uri="{FF2B5EF4-FFF2-40B4-BE49-F238E27FC236}">
                <a16:creationId xmlns:a16="http://schemas.microsoft.com/office/drawing/2014/main" id="{2306F034-76B8-4F7E-BB97-BA89DDDAF5A4}"/>
              </a:ext>
            </a:extLst>
          </xdr:cNvPr>
          <xdr:cNvGraphicFramePr>
            <a:graphicFrameLocks/>
          </xdr:cNvGraphicFramePr>
        </xdr:nvGraphicFramePr>
        <xdr:xfrm>
          <a:off x="1905000" y="2771775"/>
          <a:ext cx="6181725" cy="1833885"/>
        </xdr:xfrm>
        <a:graphic>
          <a:graphicData uri="http://schemas.openxmlformats.org/drawingml/2006/chart">
            <c:chart xmlns:c="http://schemas.openxmlformats.org/drawingml/2006/chart" xmlns:r="http://schemas.openxmlformats.org/officeDocument/2006/relationships" r:id="rId3"/>
          </a:graphicData>
        </a:graphic>
      </xdr:graphicFrame>
      <mc:AlternateContent xmlns:mc="http://schemas.openxmlformats.org/markup-compatibility/2006" xmlns:a14="http://schemas.microsoft.com/office/drawing/2010/main">
        <mc:Choice Requires="a14">
          <xdr:graphicFrame macro="">
            <xdr:nvGraphicFramePr>
              <xdr:cNvPr id="21" name="mnth">
                <a:extLst>
                  <a:ext uri="{FF2B5EF4-FFF2-40B4-BE49-F238E27FC236}">
                    <a16:creationId xmlns:a16="http://schemas.microsoft.com/office/drawing/2014/main" id="{B198C482-CEB4-4D12-9007-837A52E8214E}"/>
                  </a:ext>
                </a:extLst>
              </xdr:cNvPr>
              <xdr:cNvGraphicFramePr/>
            </xdr:nvGraphicFramePr>
            <xdr:xfrm>
              <a:off x="19050" y="2219326"/>
              <a:ext cx="1781175" cy="895349"/>
            </xdr:xfrm>
            <a:graphic>
              <a:graphicData uri="http://schemas.microsoft.com/office/drawing/2010/slicer">
                <sle:slicer xmlns:sle="http://schemas.microsoft.com/office/drawing/2010/slicer" name="mnth"/>
              </a:graphicData>
            </a:graphic>
          </xdr:graphicFrame>
        </mc:Choice>
        <mc:Fallback xmlns="">
          <xdr:sp macro="" textlink="">
            <xdr:nvSpPr>
              <xdr:cNvPr id="0" name=""/>
              <xdr:cNvSpPr>
                <a:spLocks noTextEdit="1"/>
              </xdr:cNvSpPr>
            </xdr:nvSpPr>
            <xdr:spPr>
              <a:xfrm>
                <a:off x="24823" y="2120490"/>
                <a:ext cx="2320925" cy="855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2" name="holiday">
                <a:extLst>
                  <a:ext uri="{FF2B5EF4-FFF2-40B4-BE49-F238E27FC236}">
                    <a16:creationId xmlns:a16="http://schemas.microsoft.com/office/drawing/2014/main" id="{F3E2BB6B-362D-423E-8656-3231191A0DDF}"/>
                  </a:ext>
                </a:extLst>
              </xdr:cNvPr>
              <xdr:cNvGraphicFramePr/>
            </xdr:nvGraphicFramePr>
            <xdr:xfrm>
              <a:off x="38100" y="1276350"/>
              <a:ext cx="1762125" cy="933449"/>
            </xdr:xfrm>
            <a:graphic>
              <a:graphicData uri="http://schemas.microsoft.com/office/drawing/2010/slicer">
                <sle:slicer xmlns:sle="http://schemas.microsoft.com/office/drawing/2010/slicer" name="holiday"/>
              </a:graphicData>
            </a:graphic>
          </xdr:graphicFrame>
        </mc:Choice>
        <mc:Fallback xmlns="">
          <xdr:sp macro="" textlink="">
            <xdr:nvSpPr>
              <xdr:cNvPr id="0" name=""/>
              <xdr:cNvSpPr>
                <a:spLocks noTextEdit="1"/>
              </xdr:cNvSpPr>
            </xdr:nvSpPr>
            <xdr:spPr>
              <a:xfrm>
                <a:off x="49645" y="1219509"/>
                <a:ext cx="2296102" cy="8918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23" name="Rectangle: Rounded Corners 22">
            <a:extLst>
              <a:ext uri="{FF2B5EF4-FFF2-40B4-BE49-F238E27FC236}">
                <a16:creationId xmlns:a16="http://schemas.microsoft.com/office/drawing/2014/main" id="{C618FAA7-CCB9-4181-BFE4-070768B3BCA0}"/>
              </a:ext>
            </a:extLst>
          </xdr:cNvPr>
          <xdr:cNvSpPr/>
        </xdr:nvSpPr>
        <xdr:spPr>
          <a:xfrm>
            <a:off x="1838325" y="19050"/>
            <a:ext cx="7905750" cy="638175"/>
          </a:xfrm>
          <a:prstGeom prst="round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3200" b="0"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Bike Sharing Demand Analysis Project</a:t>
            </a:r>
          </a:p>
        </xdr:txBody>
      </xdr:sp>
      <mc:AlternateContent xmlns:mc="http://schemas.openxmlformats.org/markup-compatibility/2006" xmlns:a14="http://schemas.microsoft.com/office/drawing/2010/main">
        <mc:Choice Requires="a14">
          <xdr:graphicFrame macro="">
            <xdr:nvGraphicFramePr>
              <xdr:cNvPr id="26" name="weathersit">
                <a:extLst>
                  <a:ext uri="{FF2B5EF4-FFF2-40B4-BE49-F238E27FC236}">
                    <a16:creationId xmlns:a16="http://schemas.microsoft.com/office/drawing/2014/main" id="{8D4EC211-4FA2-4D68-A312-88A53446AE7D}"/>
                  </a:ext>
                </a:extLst>
              </xdr:cNvPr>
              <xdr:cNvGraphicFramePr/>
            </xdr:nvGraphicFramePr>
            <xdr:xfrm>
              <a:off x="0" y="3105150"/>
              <a:ext cx="1790700" cy="1381125"/>
            </xdr:xfrm>
            <a:graphic>
              <a:graphicData uri="http://schemas.microsoft.com/office/drawing/2010/slicer">
                <sle:slicer xmlns:sle="http://schemas.microsoft.com/office/drawing/2010/slicer" name="weathersit"/>
              </a:graphicData>
            </a:graphic>
          </xdr:graphicFrame>
        </mc:Choice>
        <mc:Fallback xmlns="">
          <xdr:sp macro="" textlink="">
            <xdr:nvSpPr>
              <xdr:cNvPr id="0" name=""/>
              <xdr:cNvSpPr>
                <a:spLocks noTextEdit="1"/>
              </xdr:cNvSpPr>
            </xdr:nvSpPr>
            <xdr:spPr>
              <a:xfrm>
                <a:off x="0" y="2966864"/>
                <a:ext cx="2333336" cy="13196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34" name="Picture 33">
            <a:extLst>
              <a:ext uri="{FF2B5EF4-FFF2-40B4-BE49-F238E27FC236}">
                <a16:creationId xmlns:a16="http://schemas.microsoft.com/office/drawing/2014/main" id="{FD558625-0845-450B-9E51-D634C988FDF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85750" y="47624"/>
            <a:ext cx="1247775" cy="1138321"/>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type="none" w="med" len="me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mc:AlternateContent xmlns:mc="http://schemas.openxmlformats.org/markup-compatibility/2006" xmlns:a14="http://schemas.microsoft.com/office/drawing/2010/main">
        <mc:Choice Requires="a14">
          <xdr:graphicFrame macro="">
            <xdr:nvGraphicFramePr>
              <xdr:cNvPr id="36" name="dteday">
                <a:extLst>
                  <a:ext uri="{FF2B5EF4-FFF2-40B4-BE49-F238E27FC236}">
                    <a16:creationId xmlns:a16="http://schemas.microsoft.com/office/drawing/2014/main" id="{D511B70D-E1A3-473A-941B-68D1DF97A11D}"/>
                  </a:ext>
                </a:extLst>
              </xdr:cNvPr>
              <xdr:cNvGraphicFramePr/>
            </xdr:nvGraphicFramePr>
            <xdr:xfrm>
              <a:off x="8124825" y="676275"/>
              <a:ext cx="1590675" cy="3800475"/>
            </xdr:xfrm>
            <a:graphic>
              <a:graphicData uri="http://schemas.microsoft.com/office/drawing/2010/slicer">
                <sle:slicer xmlns:sle="http://schemas.microsoft.com/office/drawing/2010/slicer" name="dteday"/>
              </a:graphicData>
            </a:graphic>
          </xdr:graphicFrame>
        </mc:Choice>
        <mc:Fallback xmlns="">
          <xdr:sp macro="" textlink="">
            <xdr:nvSpPr>
              <xdr:cNvPr id="0" name=""/>
              <xdr:cNvSpPr>
                <a:spLocks noTextEdit="1"/>
              </xdr:cNvSpPr>
            </xdr:nvSpPr>
            <xdr:spPr>
              <a:xfrm>
                <a:off x="10586893" y="646157"/>
                <a:ext cx="2072698" cy="36312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rsonal" refreshedDate="46040.674403703706" createdVersion="7" refreshedVersion="7" minRefreshableVersion="3" recordCount="1392" xr:uid="{70397899-BD09-421D-AFE2-AD5EE6181459}">
  <cacheSource type="worksheet">
    <worksheetSource name="New_folder__2"/>
  </cacheSource>
  <cacheFields count="16">
    <cacheField name="instant" numFmtId="0">
      <sharedItems containsString="0" containsBlank="1" containsNumber="1" containsInteger="1" minValue="1" maxValue="1000" count="1001">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m/>
      </sharedItems>
    </cacheField>
    <cacheField name="dteday" numFmtId="14">
      <sharedItems containsNonDate="0" containsDate="1" containsString="0" containsBlank="1" minDate="2011-01-01T00:00:00" maxDate="2011-02-15T00:00:00" count="46">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m/>
      </sharedItems>
      <fieldGroup par="15" base="1">
        <rangePr groupBy="days" startDate="2011-01-01T00:00:00" endDate="2011-02-15T00:00:00"/>
        <groupItems count="368">
          <s v="(blank)"/>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season" numFmtId="0">
      <sharedItems containsString="0" containsBlank="1" containsNumber="1" containsInteger="1" minValue="1" maxValue="1"/>
    </cacheField>
    <cacheField name="mnth" numFmtId="0">
      <sharedItems containsString="0" containsBlank="1" containsNumber="1" containsInteger="1" minValue="1" maxValue="2" count="3">
        <n v="1"/>
        <n v="2"/>
        <m/>
      </sharedItems>
    </cacheField>
    <cacheField name="hr" numFmtId="0">
      <sharedItems containsString="0" containsBlank="1" containsNumber="1" containsInteger="1" minValue="0" maxValue="23" count="25">
        <n v="0"/>
        <n v="1"/>
        <n v="2"/>
        <n v="3"/>
        <n v="4"/>
        <n v="5"/>
        <n v="6"/>
        <n v="7"/>
        <n v="8"/>
        <n v="9"/>
        <n v="10"/>
        <n v="11"/>
        <n v="12"/>
        <n v="13"/>
        <n v="14"/>
        <n v="15"/>
        <n v="16"/>
        <n v="17"/>
        <n v="18"/>
        <n v="19"/>
        <n v="20"/>
        <n v="21"/>
        <n v="22"/>
        <n v="23"/>
        <m/>
      </sharedItems>
    </cacheField>
    <cacheField name="holiday" numFmtId="0">
      <sharedItems containsBlank="1" count="3">
        <b v="0"/>
        <b v="1"/>
        <m/>
      </sharedItems>
    </cacheField>
    <cacheField name="weekday" numFmtId="0">
      <sharedItems containsString="0" containsBlank="1" containsNumber="1" containsInteger="1" minValue="0" maxValue="6" count="8">
        <n v="6"/>
        <n v="0"/>
        <n v="1"/>
        <n v="2"/>
        <n v="3"/>
        <n v="4"/>
        <n v="5"/>
        <m/>
      </sharedItems>
    </cacheField>
    <cacheField name="weathersit" numFmtId="0">
      <sharedItems containsString="0" containsBlank="1" containsNumber="1" containsInteger="1" minValue="1" maxValue="4" count="5">
        <n v="1"/>
        <n v="2"/>
        <n v="3"/>
        <n v="4"/>
        <m/>
      </sharedItems>
    </cacheField>
    <cacheField name="temp" numFmtId="0">
      <sharedItems containsString="0" containsBlank="1" containsNumber="1" minValue="0.02" maxValue="0.46" count="25">
        <n v="0.24"/>
        <n v="0.22"/>
        <n v="0.2"/>
        <n v="0.32"/>
        <n v="0.38"/>
        <n v="0.36"/>
        <n v="0.42"/>
        <n v="0.46"/>
        <n v="0.44"/>
        <n v="0.4"/>
        <n v="0.34"/>
        <n v="0.3"/>
        <n v="0.26"/>
        <n v="0.16"/>
        <n v="0.14000000000000001"/>
        <n v="0.18"/>
        <n v="0.12"/>
        <n v="0.28000000000000003"/>
        <n v="0.1"/>
        <n v="0.08"/>
        <n v="0.06"/>
        <n v="0.04"/>
        <n v="0.02"/>
        <m/>
        <n v="0.20589999999999961"/>
      </sharedItems>
    </cacheField>
    <cacheField name="atemp" numFmtId="0">
      <sharedItems containsString="0" containsBlank="1" containsNumber="1" minValue="0" maxValue="0.45450000000000002" count="32">
        <n v="0.28789999999999999"/>
        <n v="0.2727"/>
        <n v="0.2576"/>
        <m/>
        <n v="0.34849999999999998"/>
        <n v="0.39389999999999997"/>
        <n v="0.33329999999999999"/>
        <n v="0.42420000000000002"/>
        <n v="0.45450000000000002"/>
        <n v="0.43940000000000001"/>
        <n v="0.40910000000000002"/>
        <n v="0.2273"/>
        <n v="0.21210000000000001"/>
        <n v="0.19700000000000001"/>
        <n v="0.13639999999999999"/>
        <n v="0.1061"/>
        <n v="0.1212"/>
        <n v="0.16669999999999999"/>
        <n v="0.18179999999999999"/>
        <n v="0.2424"/>
        <n v="0.1515"/>
        <n v="0.31819999999999998"/>
        <n v="6.0600000000000001E-2"/>
        <n v="7.5800000000000006E-2"/>
        <n v="9.0899999999999995E-2"/>
        <n v="0.30299999999999999"/>
        <n v="3.0300000000000001E-2"/>
        <n v="4.5499999999999999E-2"/>
        <n v="0"/>
        <n v="1.52E-2"/>
        <n v="0.36359999999999998"/>
        <n v="0.21195783619818054"/>
      </sharedItems>
    </cacheField>
    <cacheField name="hum" numFmtId="0">
      <sharedItems containsString="0" containsBlank="1" containsNumber="1" minValue="0.21" maxValue="1" count="66">
        <n v="0.81"/>
        <n v="0.8"/>
        <n v="0.75"/>
        <n v="0.86"/>
        <n v="0.76"/>
        <n v="0.77"/>
        <n v="0.72"/>
        <n v="0.82"/>
        <n v="0.88"/>
        <n v="0.87"/>
        <n v="0.94"/>
        <n v="1"/>
        <n v="0.71"/>
        <n v="0.66"/>
        <n v="0.56999999999999995"/>
        <n v="0.46"/>
        <n v="0.42"/>
        <n v="0.39"/>
        <n v="0.44"/>
        <n v="0.47"/>
        <n v="0.5"/>
        <n v="0.43"/>
        <n v="0.4"/>
        <n v="0.35"/>
        <n v="0.3"/>
        <n v="0.32"/>
        <n v="0.64"/>
        <n v="0.69"/>
        <n v="0.55000000000000004"/>
        <n v="0.59"/>
        <n v="0.63"/>
        <n v="0.68"/>
        <n v="0.74"/>
        <n v="0.51"/>
        <n v="0.56000000000000005"/>
        <n v="0.52"/>
        <n v="0.49"/>
        <n v="0.48"/>
        <n v="0.37"/>
        <n v="0.33"/>
        <n v="0.28000000000000003"/>
        <n v="0.38"/>
        <n v="0.36"/>
        <n v="0.93"/>
        <n v="0.28999999999999998"/>
        <n v="0.53"/>
        <n v="0.34"/>
        <n v="0.54"/>
        <n v="0.41"/>
        <n v="0.45"/>
        <n v="0.92"/>
        <n v="0.62"/>
        <n v="0.57999999999999996"/>
        <n v="0.61"/>
        <n v="0.6"/>
        <n v="0.65"/>
        <n v="0.7"/>
        <n v="0.27"/>
        <n v="0.21"/>
        <n v="0.25"/>
        <n v="0.26"/>
        <n v="0.31"/>
        <n v="0.73"/>
        <n v="0.24"/>
        <m/>
        <n v="0.58248000000000033"/>
      </sharedItems>
    </cacheField>
    <cacheField name="windspeed" numFmtId="0">
      <sharedItems containsString="0" containsBlank="1" containsNumber="1" minValue="8.9599999999999999E-2" maxValue="0.75" count="99">
        <n v="0.54895000000000005"/>
        <n v="0.53634999999999999"/>
        <n v="0.51895000000000002"/>
        <n v="8.9599999999999999E-2"/>
        <n v="0.55879999999999996"/>
        <n v="0.75"/>
        <n v="0.55425000000000002"/>
        <n v="0.25369999999999998"/>
        <n v="0.28360000000000002"/>
        <n v="0.29849999999999999"/>
        <n v="0.19400000000000001"/>
        <n v="0.22389999999999999"/>
        <n v="0.1343"/>
        <n v="0.16420000000000001"/>
        <n v="0.32840000000000003"/>
        <n v="0.44779999999999998"/>
        <n v="0.35820000000000002"/>
        <n v="0.41789999999999999"/>
        <n v="0.3881"/>
        <n v="0.1045"/>
        <n v="0.36380000000000001"/>
        <n v="0.45635000000000003"/>
        <n v="0.44879999999999998"/>
        <n v="0.3962"/>
        <n v="0.43364999999999998"/>
        <n v="0.40864999999999996"/>
        <n v="0.37619999999999998"/>
        <n v="0.31894999999999996"/>
        <n v="0.31635000000000002"/>
        <n v="0.41134999999999999"/>
        <n v="0.4738"/>
        <n v="0.31379999999999997"/>
        <n v="0.49249999999999999"/>
        <n v="0.55220000000000002"/>
        <n v="0.4627"/>
        <n v="0.52239999999999998"/>
        <n v="0.38865000000000005"/>
        <n v="0.57865"/>
        <n v="0.58209999999999995"/>
        <n v="0.3609"/>
        <n v="0.42335"/>
        <n v="0.41620000000000001"/>
        <n v="0.45865"/>
        <n v="0.42105000000000004"/>
        <n v="0.43149999999999999"/>
        <n v="0.48134999999999994"/>
        <n v="0.57135000000000002"/>
        <n v="0.60135000000000005"/>
        <n v="0.41635"/>
        <n v="0.37664999999999998"/>
        <n v="0.25834999999999997"/>
        <n v="0.21575"/>
        <n v="0.23850000000000002"/>
        <n v="0.32074999999999998"/>
        <n v="0.30059999999999998"/>
        <n v="0.31319999999999998"/>
        <n v="0.28075"/>
        <n v="0.2782"/>
        <n v="0.39165"/>
        <n v="0.38424999999999998"/>
        <n v="0.44394999999999996"/>
        <n v="0.50605"/>
        <n v="0.51365000000000005"/>
        <n v="0.57105000000000006"/>
        <n v="0.53605000000000003"/>
        <n v="0.5212"/>
        <n v="0.51134999999999997"/>
        <n v="0.44664999999999999"/>
        <n v="0.55120000000000002"/>
        <n v="0.63634999999999997"/>
        <n v="0.32879999999999998"/>
        <n v="0.3488"/>
        <n v="0.40105000000000002"/>
        <n v="0.62880000000000003"/>
        <n v="0.39665"/>
        <n v="0.4118"/>
        <n v="0.45150000000000001"/>
        <n v="0.46894999999999998"/>
        <n v="0.52880000000000005"/>
        <n v="0.58620000000000005"/>
        <n v="0.61365000000000003"/>
        <n v="0.48424999999999996"/>
        <n v="0.52424999999999999"/>
        <n v="0.57164999999999999"/>
        <n v="0.59409999999999996"/>
        <n v="0.30075000000000002"/>
        <n v="0.27089999999999997"/>
        <n v="0.30105000000000004"/>
        <n v="0.29349999999999998"/>
        <n v="0.43090000000000001"/>
        <n v="0.44834999999999997"/>
        <n v="0.28664999999999996"/>
        <n v="0.29910000000000003"/>
        <n v="0.3165"/>
        <n v="0.46619999999999995"/>
        <n v="0.49850000000000005"/>
        <n v="0.35649999999999998"/>
        <m/>
        <n v="0.25776294999999855"/>
      </sharedItems>
    </cacheField>
    <cacheField name="casual" numFmtId="0">
      <sharedItems containsString="0" containsBlank="1" containsNumber="1" containsInteger="1" minValue="0" maxValue="4921" count="44">
        <n v="3"/>
        <n v="8"/>
        <n v="5"/>
        <n v="0"/>
        <n v="2"/>
        <n v="1"/>
        <n v="12"/>
        <n v="26"/>
        <n v="29"/>
        <n v="47"/>
        <n v="35"/>
        <n v="40"/>
        <n v="41"/>
        <n v="15"/>
        <n v="9"/>
        <n v="6"/>
        <n v="11"/>
        <n v="4"/>
        <n v="7"/>
        <n v="16"/>
        <n v="20"/>
        <n v="19"/>
        <n v="10"/>
        <n v="13"/>
        <n v="14"/>
        <n v="18"/>
        <n v="17"/>
        <n v="21"/>
        <n v="33"/>
        <n v="23"/>
        <n v="22"/>
        <n v="24"/>
        <n v="28"/>
        <n v="48"/>
        <n v="52"/>
        <n v="42"/>
        <n v="30"/>
        <n v="27"/>
        <n v="32"/>
        <n v="58"/>
        <n v="62"/>
        <n v="51"/>
        <m/>
        <n v="4921"/>
      </sharedItems>
    </cacheField>
    <cacheField name="registered" numFmtId="0">
      <sharedItems containsString="0" containsBlank="1" containsNumber="1" containsInteger="1" minValue="0" maxValue="53383" count="188">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147"/>
        <n v="84"/>
        <n v="88"/>
        <n v="104"/>
        <n v="182"/>
        <n v="112"/>
        <n v="114"/>
        <n v="172"/>
        <n v="165"/>
        <n v="105"/>
        <n v="183"/>
        <n v="175"/>
        <n v="170"/>
        <n v="217"/>
        <n v="91"/>
        <n v="195"/>
        <n v="152"/>
        <n v="126"/>
        <n v="115"/>
        <n v="223"/>
        <n v="123"/>
        <n v="236"/>
        <n v="128"/>
        <n v="198"/>
        <n v="157"/>
        <n v="168"/>
        <n v="99"/>
        <n v="173"/>
        <n v="121"/>
        <n v="212"/>
        <n v="111"/>
        <n v="193"/>
        <n v="113"/>
        <n v="122"/>
        <n v="106"/>
        <n v="96"/>
        <m/>
        <n v="53383"/>
      </sharedItems>
    </cacheField>
    <cacheField name="cnt" numFmtId="0">
      <sharedItems containsString="0" containsBlank="1" containsNumber="1" containsInteger="1" minValue="1" maxValue="58304" count="193">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n v="149"/>
        <n v="107"/>
        <n v="156"/>
        <n v="111"/>
        <n v="135"/>
        <n v="176"/>
        <n v="168"/>
        <n v="175"/>
        <n v="147"/>
        <n v="220"/>
        <n v="127"/>
        <n v="205"/>
        <n v="174"/>
        <n v="121"/>
        <n v="230"/>
        <n v="66"/>
        <n v="114"/>
        <n v="216"/>
        <n v="243"/>
        <n v="199"/>
        <n v="170"/>
        <n v="165"/>
        <n v="160"/>
        <n v="140"/>
        <n v="211"/>
        <n v="145"/>
        <m/>
        <n v="58304"/>
      </sharedItems>
    </cacheField>
    <cacheField name="Months"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pivotCacheId="1490446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92">
  <r>
    <x v="0"/>
    <x v="0"/>
    <n v="1"/>
    <x v="0"/>
    <x v="0"/>
    <x v="0"/>
    <x v="0"/>
    <x v="0"/>
    <x v="0"/>
    <x v="0"/>
    <x v="0"/>
    <x v="0"/>
    <x v="0"/>
    <x v="0"/>
    <x v="0"/>
  </r>
  <r>
    <x v="1"/>
    <x v="0"/>
    <n v="1"/>
    <x v="0"/>
    <x v="1"/>
    <x v="0"/>
    <x v="0"/>
    <x v="0"/>
    <x v="1"/>
    <x v="1"/>
    <x v="1"/>
    <x v="1"/>
    <x v="1"/>
    <x v="1"/>
    <x v="1"/>
  </r>
  <r>
    <x v="2"/>
    <x v="0"/>
    <n v="1"/>
    <x v="0"/>
    <x v="2"/>
    <x v="0"/>
    <x v="0"/>
    <x v="0"/>
    <x v="1"/>
    <x v="1"/>
    <x v="1"/>
    <x v="1"/>
    <x v="2"/>
    <x v="2"/>
    <x v="2"/>
  </r>
  <r>
    <x v="3"/>
    <x v="0"/>
    <n v="1"/>
    <x v="0"/>
    <x v="3"/>
    <x v="0"/>
    <x v="0"/>
    <x v="0"/>
    <x v="0"/>
    <x v="0"/>
    <x v="2"/>
    <x v="2"/>
    <x v="0"/>
    <x v="3"/>
    <x v="3"/>
  </r>
  <r>
    <x v="4"/>
    <x v="0"/>
    <n v="1"/>
    <x v="0"/>
    <x v="4"/>
    <x v="0"/>
    <x v="0"/>
    <x v="0"/>
    <x v="0"/>
    <x v="0"/>
    <x v="2"/>
    <x v="2"/>
    <x v="3"/>
    <x v="4"/>
    <x v="4"/>
  </r>
  <r>
    <x v="5"/>
    <x v="0"/>
    <n v="1"/>
    <x v="0"/>
    <x v="5"/>
    <x v="0"/>
    <x v="0"/>
    <x v="1"/>
    <x v="0"/>
    <x v="2"/>
    <x v="2"/>
    <x v="3"/>
    <x v="3"/>
    <x v="4"/>
    <x v="4"/>
  </r>
  <r>
    <x v="6"/>
    <x v="0"/>
    <n v="1"/>
    <x v="0"/>
    <x v="6"/>
    <x v="0"/>
    <x v="0"/>
    <x v="0"/>
    <x v="1"/>
    <x v="1"/>
    <x v="1"/>
    <x v="1"/>
    <x v="4"/>
    <x v="5"/>
    <x v="5"/>
  </r>
  <r>
    <x v="7"/>
    <x v="0"/>
    <n v="1"/>
    <x v="0"/>
    <x v="7"/>
    <x v="0"/>
    <x v="0"/>
    <x v="0"/>
    <x v="2"/>
    <x v="2"/>
    <x v="3"/>
    <x v="4"/>
    <x v="5"/>
    <x v="6"/>
    <x v="6"/>
  </r>
  <r>
    <x v="8"/>
    <x v="0"/>
    <n v="1"/>
    <x v="0"/>
    <x v="8"/>
    <x v="0"/>
    <x v="0"/>
    <x v="0"/>
    <x v="0"/>
    <x v="3"/>
    <x v="2"/>
    <x v="5"/>
    <x v="5"/>
    <x v="7"/>
    <x v="7"/>
  </r>
  <r>
    <x v="9"/>
    <x v="0"/>
    <n v="1"/>
    <x v="0"/>
    <x v="9"/>
    <x v="0"/>
    <x v="0"/>
    <x v="0"/>
    <x v="3"/>
    <x v="4"/>
    <x v="4"/>
    <x v="6"/>
    <x v="1"/>
    <x v="8"/>
    <x v="8"/>
  </r>
  <r>
    <x v="10"/>
    <x v="0"/>
    <n v="1"/>
    <x v="0"/>
    <x v="10"/>
    <x v="0"/>
    <x v="0"/>
    <x v="0"/>
    <x v="4"/>
    <x v="5"/>
    <x v="4"/>
    <x v="7"/>
    <x v="6"/>
    <x v="9"/>
    <x v="9"/>
  </r>
  <r>
    <x v="11"/>
    <x v="0"/>
    <n v="1"/>
    <x v="0"/>
    <x v="11"/>
    <x v="0"/>
    <x v="0"/>
    <x v="0"/>
    <x v="5"/>
    <x v="6"/>
    <x v="0"/>
    <x v="8"/>
    <x v="7"/>
    <x v="10"/>
    <x v="10"/>
  </r>
  <r>
    <x v="12"/>
    <x v="0"/>
    <n v="1"/>
    <x v="0"/>
    <x v="12"/>
    <x v="0"/>
    <x v="0"/>
    <x v="0"/>
    <x v="6"/>
    <x v="7"/>
    <x v="5"/>
    <x v="8"/>
    <x v="8"/>
    <x v="11"/>
    <x v="11"/>
  </r>
  <r>
    <x v="13"/>
    <x v="0"/>
    <n v="1"/>
    <x v="0"/>
    <x v="13"/>
    <x v="0"/>
    <x v="0"/>
    <x v="1"/>
    <x v="7"/>
    <x v="8"/>
    <x v="6"/>
    <x v="9"/>
    <x v="9"/>
    <x v="12"/>
    <x v="12"/>
  </r>
  <r>
    <x v="14"/>
    <x v="0"/>
    <n v="1"/>
    <x v="0"/>
    <x v="14"/>
    <x v="0"/>
    <x v="0"/>
    <x v="1"/>
    <x v="7"/>
    <x v="8"/>
    <x v="6"/>
    <x v="8"/>
    <x v="10"/>
    <x v="13"/>
    <x v="13"/>
  </r>
  <r>
    <x v="15"/>
    <x v="0"/>
    <n v="1"/>
    <x v="0"/>
    <x v="15"/>
    <x v="0"/>
    <x v="0"/>
    <x v="1"/>
    <x v="8"/>
    <x v="9"/>
    <x v="5"/>
    <x v="9"/>
    <x v="11"/>
    <x v="14"/>
    <x v="14"/>
  </r>
  <r>
    <x v="16"/>
    <x v="0"/>
    <n v="1"/>
    <x v="0"/>
    <x v="16"/>
    <x v="0"/>
    <x v="0"/>
    <x v="1"/>
    <x v="6"/>
    <x v="7"/>
    <x v="7"/>
    <x v="9"/>
    <x v="12"/>
    <x v="15"/>
    <x v="15"/>
  </r>
  <r>
    <x v="17"/>
    <x v="0"/>
    <n v="1"/>
    <x v="0"/>
    <x v="17"/>
    <x v="0"/>
    <x v="0"/>
    <x v="1"/>
    <x v="8"/>
    <x v="3"/>
    <x v="7"/>
    <x v="8"/>
    <x v="13"/>
    <x v="15"/>
    <x v="16"/>
  </r>
  <r>
    <x v="18"/>
    <x v="0"/>
    <n v="1"/>
    <x v="0"/>
    <x v="18"/>
    <x v="0"/>
    <x v="0"/>
    <x v="2"/>
    <x v="6"/>
    <x v="7"/>
    <x v="8"/>
    <x v="7"/>
    <x v="14"/>
    <x v="16"/>
    <x v="17"/>
  </r>
  <r>
    <x v="19"/>
    <x v="0"/>
    <n v="1"/>
    <x v="0"/>
    <x v="19"/>
    <x v="0"/>
    <x v="0"/>
    <x v="2"/>
    <x v="6"/>
    <x v="7"/>
    <x v="8"/>
    <x v="7"/>
    <x v="15"/>
    <x v="17"/>
    <x v="18"/>
  </r>
  <r>
    <x v="20"/>
    <x v="0"/>
    <n v="1"/>
    <x v="0"/>
    <x v="20"/>
    <x v="0"/>
    <x v="0"/>
    <x v="1"/>
    <x v="9"/>
    <x v="10"/>
    <x v="9"/>
    <x v="7"/>
    <x v="16"/>
    <x v="18"/>
    <x v="9"/>
  </r>
  <r>
    <x v="21"/>
    <x v="0"/>
    <n v="1"/>
    <x v="0"/>
    <x v="21"/>
    <x v="0"/>
    <x v="0"/>
    <x v="1"/>
    <x v="9"/>
    <x v="10"/>
    <x v="9"/>
    <x v="10"/>
    <x v="0"/>
    <x v="17"/>
    <x v="19"/>
  </r>
  <r>
    <x v="22"/>
    <x v="0"/>
    <n v="1"/>
    <x v="0"/>
    <x v="22"/>
    <x v="0"/>
    <x v="0"/>
    <x v="1"/>
    <x v="9"/>
    <x v="10"/>
    <x v="10"/>
    <x v="11"/>
    <x v="16"/>
    <x v="19"/>
    <x v="20"/>
  </r>
  <r>
    <x v="23"/>
    <x v="0"/>
    <n v="1"/>
    <x v="0"/>
    <x v="23"/>
    <x v="0"/>
    <x v="0"/>
    <x v="1"/>
    <x v="7"/>
    <x v="3"/>
    <x v="8"/>
    <x v="9"/>
    <x v="13"/>
    <x v="9"/>
    <x v="21"/>
  </r>
  <r>
    <x v="24"/>
    <x v="1"/>
    <n v="1"/>
    <x v="0"/>
    <x v="0"/>
    <x v="0"/>
    <x v="1"/>
    <x v="1"/>
    <x v="7"/>
    <x v="8"/>
    <x v="8"/>
    <x v="9"/>
    <x v="17"/>
    <x v="0"/>
    <x v="22"/>
  </r>
  <r>
    <x v="25"/>
    <x v="1"/>
    <n v="1"/>
    <x v="0"/>
    <x v="1"/>
    <x v="0"/>
    <x v="1"/>
    <x v="1"/>
    <x v="8"/>
    <x v="9"/>
    <x v="10"/>
    <x v="7"/>
    <x v="5"/>
    <x v="20"/>
    <x v="22"/>
  </r>
  <r>
    <x v="26"/>
    <x v="1"/>
    <n v="1"/>
    <x v="0"/>
    <x v="2"/>
    <x v="0"/>
    <x v="1"/>
    <x v="1"/>
    <x v="6"/>
    <x v="7"/>
    <x v="11"/>
    <x v="8"/>
    <x v="5"/>
    <x v="21"/>
    <x v="23"/>
  </r>
  <r>
    <x v="27"/>
    <x v="1"/>
    <n v="1"/>
    <x v="0"/>
    <x v="3"/>
    <x v="0"/>
    <x v="1"/>
    <x v="1"/>
    <x v="7"/>
    <x v="8"/>
    <x v="10"/>
    <x v="10"/>
    <x v="4"/>
    <x v="22"/>
    <x v="24"/>
  </r>
  <r>
    <x v="28"/>
    <x v="1"/>
    <n v="1"/>
    <x v="0"/>
    <x v="4"/>
    <x v="0"/>
    <x v="1"/>
    <x v="1"/>
    <x v="7"/>
    <x v="3"/>
    <x v="10"/>
    <x v="10"/>
    <x v="4"/>
    <x v="4"/>
    <x v="6"/>
  </r>
  <r>
    <x v="29"/>
    <x v="1"/>
    <n v="1"/>
    <x v="0"/>
    <x v="6"/>
    <x v="0"/>
    <x v="1"/>
    <x v="2"/>
    <x v="6"/>
    <x v="7"/>
    <x v="5"/>
    <x v="9"/>
    <x v="3"/>
    <x v="6"/>
    <x v="5"/>
  </r>
  <r>
    <x v="30"/>
    <x v="1"/>
    <n v="1"/>
    <x v="0"/>
    <x v="7"/>
    <x v="0"/>
    <x v="1"/>
    <x v="1"/>
    <x v="9"/>
    <x v="10"/>
    <x v="4"/>
    <x v="10"/>
    <x v="3"/>
    <x v="4"/>
    <x v="4"/>
  </r>
  <r>
    <x v="31"/>
    <x v="1"/>
    <n v="1"/>
    <x v="0"/>
    <x v="8"/>
    <x v="0"/>
    <x v="1"/>
    <x v="2"/>
    <x v="9"/>
    <x v="10"/>
    <x v="12"/>
    <x v="11"/>
    <x v="3"/>
    <x v="21"/>
    <x v="7"/>
  </r>
  <r>
    <x v="32"/>
    <x v="1"/>
    <n v="1"/>
    <x v="0"/>
    <x v="9"/>
    <x v="0"/>
    <x v="1"/>
    <x v="1"/>
    <x v="4"/>
    <x v="3"/>
    <x v="4"/>
    <x v="11"/>
    <x v="5"/>
    <x v="23"/>
    <x v="25"/>
  </r>
  <r>
    <x v="33"/>
    <x v="1"/>
    <n v="1"/>
    <x v="0"/>
    <x v="10"/>
    <x v="0"/>
    <x v="1"/>
    <x v="1"/>
    <x v="5"/>
    <x v="4"/>
    <x v="0"/>
    <x v="11"/>
    <x v="18"/>
    <x v="24"/>
    <x v="26"/>
  </r>
  <r>
    <x v="34"/>
    <x v="1"/>
    <n v="1"/>
    <x v="0"/>
    <x v="11"/>
    <x v="0"/>
    <x v="1"/>
    <x v="1"/>
    <x v="5"/>
    <x v="6"/>
    <x v="12"/>
    <x v="7"/>
    <x v="19"/>
    <x v="25"/>
    <x v="27"/>
  </r>
  <r>
    <x v="35"/>
    <x v="1"/>
    <n v="1"/>
    <x v="0"/>
    <x v="12"/>
    <x v="0"/>
    <x v="1"/>
    <x v="1"/>
    <x v="5"/>
    <x v="6"/>
    <x v="13"/>
    <x v="9"/>
    <x v="20"/>
    <x v="26"/>
    <x v="15"/>
  </r>
  <r>
    <x v="36"/>
    <x v="1"/>
    <n v="1"/>
    <x v="0"/>
    <x v="13"/>
    <x v="0"/>
    <x v="1"/>
    <x v="1"/>
    <x v="5"/>
    <x v="4"/>
    <x v="13"/>
    <x v="12"/>
    <x v="16"/>
    <x v="27"/>
    <x v="28"/>
  </r>
  <r>
    <x v="37"/>
    <x v="1"/>
    <n v="1"/>
    <x v="0"/>
    <x v="14"/>
    <x v="0"/>
    <x v="1"/>
    <x v="2"/>
    <x v="5"/>
    <x v="3"/>
    <x v="4"/>
    <x v="10"/>
    <x v="17"/>
    <x v="11"/>
    <x v="29"/>
  </r>
  <r>
    <x v="38"/>
    <x v="1"/>
    <n v="1"/>
    <x v="0"/>
    <x v="15"/>
    <x v="0"/>
    <x v="1"/>
    <x v="2"/>
    <x v="10"/>
    <x v="6"/>
    <x v="0"/>
    <x v="13"/>
    <x v="21"/>
    <x v="11"/>
    <x v="30"/>
  </r>
  <r>
    <x v="39"/>
    <x v="1"/>
    <n v="1"/>
    <x v="0"/>
    <x v="16"/>
    <x v="0"/>
    <x v="1"/>
    <x v="2"/>
    <x v="10"/>
    <x v="6"/>
    <x v="12"/>
    <x v="13"/>
    <x v="14"/>
    <x v="28"/>
    <x v="31"/>
  </r>
  <r>
    <x v="40"/>
    <x v="1"/>
    <n v="1"/>
    <x v="0"/>
    <x v="17"/>
    <x v="0"/>
    <x v="1"/>
    <x v="0"/>
    <x v="10"/>
    <x v="6"/>
    <x v="14"/>
    <x v="10"/>
    <x v="18"/>
    <x v="29"/>
    <x v="32"/>
  </r>
  <r>
    <x v="41"/>
    <x v="1"/>
    <n v="1"/>
    <x v="0"/>
    <x v="18"/>
    <x v="0"/>
    <x v="1"/>
    <x v="1"/>
    <x v="5"/>
    <x v="6"/>
    <x v="15"/>
    <x v="14"/>
    <x v="22"/>
    <x v="30"/>
    <x v="26"/>
  </r>
  <r>
    <x v="42"/>
    <x v="1"/>
    <n v="1"/>
    <x v="0"/>
    <x v="19"/>
    <x v="0"/>
    <x v="1"/>
    <x v="0"/>
    <x v="3"/>
    <x v="0"/>
    <x v="16"/>
    <x v="15"/>
    <x v="5"/>
    <x v="31"/>
    <x v="33"/>
  </r>
  <r>
    <x v="43"/>
    <x v="1"/>
    <n v="1"/>
    <x v="0"/>
    <x v="20"/>
    <x v="0"/>
    <x v="1"/>
    <x v="0"/>
    <x v="11"/>
    <x v="3"/>
    <x v="17"/>
    <x v="16"/>
    <x v="2"/>
    <x v="19"/>
    <x v="34"/>
  </r>
  <r>
    <x v="44"/>
    <x v="1"/>
    <n v="1"/>
    <x v="0"/>
    <x v="21"/>
    <x v="0"/>
    <x v="1"/>
    <x v="0"/>
    <x v="12"/>
    <x v="11"/>
    <x v="18"/>
    <x v="14"/>
    <x v="16"/>
    <x v="32"/>
    <x v="35"/>
  </r>
  <r>
    <x v="45"/>
    <x v="1"/>
    <n v="1"/>
    <x v="0"/>
    <x v="22"/>
    <x v="0"/>
    <x v="1"/>
    <x v="0"/>
    <x v="0"/>
    <x v="12"/>
    <x v="18"/>
    <x v="9"/>
    <x v="3"/>
    <x v="33"/>
    <x v="23"/>
  </r>
  <r>
    <x v="46"/>
    <x v="1"/>
    <n v="1"/>
    <x v="0"/>
    <x v="23"/>
    <x v="0"/>
    <x v="1"/>
    <x v="0"/>
    <x v="1"/>
    <x v="11"/>
    <x v="19"/>
    <x v="13"/>
    <x v="3"/>
    <x v="21"/>
    <x v="7"/>
  </r>
  <r>
    <x v="47"/>
    <x v="2"/>
    <n v="1"/>
    <x v="0"/>
    <x v="0"/>
    <x v="0"/>
    <x v="2"/>
    <x v="0"/>
    <x v="1"/>
    <x v="13"/>
    <x v="18"/>
    <x v="16"/>
    <x v="3"/>
    <x v="34"/>
    <x v="36"/>
  </r>
  <r>
    <x v="48"/>
    <x v="2"/>
    <n v="1"/>
    <x v="0"/>
    <x v="1"/>
    <x v="0"/>
    <x v="2"/>
    <x v="0"/>
    <x v="2"/>
    <x v="3"/>
    <x v="18"/>
    <x v="17"/>
    <x v="3"/>
    <x v="6"/>
    <x v="5"/>
  </r>
  <r>
    <x v="49"/>
    <x v="2"/>
    <n v="1"/>
    <x v="0"/>
    <x v="4"/>
    <x v="0"/>
    <x v="2"/>
    <x v="0"/>
    <x v="13"/>
    <x v="14"/>
    <x v="19"/>
    <x v="18"/>
    <x v="3"/>
    <x v="4"/>
    <x v="4"/>
  </r>
  <r>
    <x v="50"/>
    <x v="2"/>
    <n v="1"/>
    <x v="0"/>
    <x v="5"/>
    <x v="0"/>
    <x v="2"/>
    <x v="0"/>
    <x v="13"/>
    <x v="14"/>
    <x v="19"/>
    <x v="8"/>
    <x v="3"/>
    <x v="35"/>
    <x v="6"/>
  </r>
  <r>
    <x v="51"/>
    <x v="2"/>
    <n v="1"/>
    <x v="0"/>
    <x v="6"/>
    <x v="0"/>
    <x v="2"/>
    <x v="0"/>
    <x v="14"/>
    <x v="15"/>
    <x v="20"/>
    <x v="18"/>
    <x v="3"/>
    <x v="10"/>
    <x v="33"/>
  </r>
  <r>
    <x v="52"/>
    <x v="2"/>
    <n v="1"/>
    <x v="0"/>
    <x v="7"/>
    <x v="0"/>
    <x v="2"/>
    <x v="0"/>
    <x v="14"/>
    <x v="14"/>
    <x v="20"/>
    <x v="10"/>
    <x v="5"/>
    <x v="36"/>
    <x v="37"/>
  </r>
  <r>
    <x v="53"/>
    <x v="2"/>
    <n v="1"/>
    <x v="0"/>
    <x v="8"/>
    <x v="0"/>
    <x v="2"/>
    <x v="0"/>
    <x v="14"/>
    <x v="16"/>
    <x v="20"/>
    <x v="8"/>
    <x v="5"/>
    <x v="37"/>
    <x v="38"/>
  </r>
  <r>
    <x v="54"/>
    <x v="2"/>
    <n v="1"/>
    <x v="0"/>
    <x v="9"/>
    <x v="0"/>
    <x v="2"/>
    <x v="0"/>
    <x v="13"/>
    <x v="14"/>
    <x v="21"/>
    <x v="18"/>
    <x v="18"/>
    <x v="38"/>
    <x v="39"/>
  </r>
  <r>
    <x v="55"/>
    <x v="2"/>
    <n v="1"/>
    <x v="0"/>
    <x v="10"/>
    <x v="0"/>
    <x v="2"/>
    <x v="0"/>
    <x v="15"/>
    <x v="17"/>
    <x v="21"/>
    <x v="7"/>
    <x v="16"/>
    <x v="39"/>
    <x v="40"/>
  </r>
  <r>
    <x v="56"/>
    <x v="2"/>
    <n v="1"/>
    <x v="0"/>
    <x v="11"/>
    <x v="0"/>
    <x v="2"/>
    <x v="0"/>
    <x v="2"/>
    <x v="18"/>
    <x v="22"/>
    <x v="14"/>
    <x v="22"/>
    <x v="40"/>
    <x v="41"/>
  </r>
  <r>
    <x v="57"/>
    <x v="2"/>
    <n v="1"/>
    <x v="0"/>
    <x v="12"/>
    <x v="0"/>
    <x v="2"/>
    <x v="0"/>
    <x v="1"/>
    <x v="12"/>
    <x v="23"/>
    <x v="9"/>
    <x v="23"/>
    <x v="41"/>
    <x v="42"/>
  </r>
  <r>
    <x v="58"/>
    <x v="2"/>
    <n v="1"/>
    <x v="0"/>
    <x v="13"/>
    <x v="0"/>
    <x v="2"/>
    <x v="0"/>
    <x v="0"/>
    <x v="3"/>
    <x v="23"/>
    <x v="8"/>
    <x v="1"/>
    <x v="42"/>
    <x v="42"/>
  </r>
  <r>
    <x v="59"/>
    <x v="2"/>
    <n v="1"/>
    <x v="0"/>
    <x v="14"/>
    <x v="0"/>
    <x v="2"/>
    <x v="0"/>
    <x v="12"/>
    <x v="19"/>
    <x v="24"/>
    <x v="8"/>
    <x v="16"/>
    <x v="43"/>
    <x v="43"/>
  </r>
  <r>
    <x v="60"/>
    <x v="2"/>
    <n v="1"/>
    <x v="0"/>
    <x v="15"/>
    <x v="0"/>
    <x v="2"/>
    <x v="0"/>
    <x v="12"/>
    <x v="19"/>
    <x v="24"/>
    <x v="7"/>
    <x v="24"/>
    <x v="29"/>
    <x v="44"/>
  </r>
  <r>
    <x v="61"/>
    <x v="2"/>
    <n v="1"/>
    <x v="0"/>
    <x v="16"/>
    <x v="0"/>
    <x v="2"/>
    <x v="0"/>
    <x v="12"/>
    <x v="19"/>
    <x v="24"/>
    <x v="7"/>
    <x v="14"/>
    <x v="28"/>
    <x v="31"/>
  </r>
  <r>
    <x v="62"/>
    <x v="2"/>
    <n v="1"/>
    <x v="0"/>
    <x v="17"/>
    <x v="0"/>
    <x v="2"/>
    <x v="0"/>
    <x v="0"/>
    <x v="11"/>
    <x v="24"/>
    <x v="11"/>
    <x v="16"/>
    <x v="44"/>
    <x v="45"/>
  </r>
  <r>
    <x v="63"/>
    <x v="2"/>
    <n v="1"/>
    <x v="0"/>
    <x v="18"/>
    <x v="0"/>
    <x v="2"/>
    <x v="0"/>
    <x v="0"/>
    <x v="2"/>
    <x v="25"/>
    <x v="19"/>
    <x v="14"/>
    <x v="45"/>
    <x v="45"/>
  </r>
  <r>
    <x v="64"/>
    <x v="2"/>
    <n v="1"/>
    <x v="0"/>
    <x v="19"/>
    <x v="0"/>
    <x v="2"/>
    <x v="0"/>
    <x v="2"/>
    <x v="2"/>
    <x v="19"/>
    <x v="20"/>
    <x v="1"/>
    <x v="46"/>
    <x v="14"/>
  </r>
  <r>
    <x v="65"/>
    <x v="2"/>
    <n v="1"/>
    <x v="0"/>
    <x v="20"/>
    <x v="0"/>
    <x v="2"/>
    <x v="0"/>
    <x v="2"/>
    <x v="3"/>
    <x v="19"/>
    <x v="19"/>
    <x v="0"/>
    <x v="47"/>
    <x v="46"/>
  </r>
  <r>
    <x v="66"/>
    <x v="2"/>
    <n v="1"/>
    <x v="0"/>
    <x v="21"/>
    <x v="0"/>
    <x v="2"/>
    <x v="0"/>
    <x v="15"/>
    <x v="13"/>
    <x v="26"/>
    <x v="12"/>
    <x v="0"/>
    <x v="47"/>
    <x v="46"/>
  </r>
  <r>
    <x v="67"/>
    <x v="2"/>
    <n v="1"/>
    <x v="0"/>
    <x v="22"/>
    <x v="0"/>
    <x v="2"/>
    <x v="0"/>
    <x v="14"/>
    <x v="20"/>
    <x v="27"/>
    <x v="12"/>
    <x v="3"/>
    <x v="32"/>
    <x v="25"/>
  </r>
  <r>
    <x v="68"/>
    <x v="2"/>
    <n v="1"/>
    <x v="0"/>
    <x v="23"/>
    <x v="0"/>
    <x v="2"/>
    <x v="0"/>
    <x v="15"/>
    <x v="12"/>
    <x v="28"/>
    <x v="19"/>
    <x v="5"/>
    <x v="48"/>
    <x v="47"/>
  </r>
  <r>
    <x v="69"/>
    <x v="3"/>
    <n v="1"/>
    <x v="0"/>
    <x v="0"/>
    <x v="0"/>
    <x v="3"/>
    <x v="0"/>
    <x v="13"/>
    <x v="3"/>
    <x v="28"/>
    <x v="19"/>
    <x v="3"/>
    <x v="34"/>
    <x v="36"/>
  </r>
  <r>
    <x v="70"/>
    <x v="3"/>
    <n v="1"/>
    <x v="0"/>
    <x v="1"/>
    <x v="0"/>
    <x v="3"/>
    <x v="0"/>
    <x v="13"/>
    <x v="18"/>
    <x v="29"/>
    <x v="19"/>
    <x v="3"/>
    <x v="6"/>
    <x v="5"/>
  </r>
  <r>
    <x v="71"/>
    <x v="3"/>
    <n v="1"/>
    <x v="0"/>
    <x v="2"/>
    <x v="0"/>
    <x v="3"/>
    <x v="0"/>
    <x v="14"/>
    <x v="20"/>
    <x v="30"/>
    <x v="12"/>
    <x v="3"/>
    <x v="4"/>
    <x v="4"/>
  </r>
  <r>
    <x v="72"/>
    <x v="3"/>
    <n v="1"/>
    <x v="0"/>
    <x v="4"/>
    <x v="0"/>
    <x v="3"/>
    <x v="0"/>
    <x v="14"/>
    <x v="18"/>
    <x v="30"/>
    <x v="3"/>
    <x v="3"/>
    <x v="6"/>
    <x v="5"/>
  </r>
  <r>
    <x v="73"/>
    <x v="3"/>
    <n v="1"/>
    <x v="0"/>
    <x v="5"/>
    <x v="0"/>
    <x v="3"/>
    <x v="0"/>
    <x v="16"/>
    <x v="20"/>
    <x v="31"/>
    <x v="19"/>
    <x v="3"/>
    <x v="22"/>
    <x v="48"/>
  </r>
  <r>
    <x v="74"/>
    <x v="3"/>
    <n v="1"/>
    <x v="0"/>
    <x v="6"/>
    <x v="0"/>
    <x v="3"/>
    <x v="0"/>
    <x v="16"/>
    <x v="20"/>
    <x v="32"/>
    <x v="19"/>
    <x v="3"/>
    <x v="49"/>
    <x v="9"/>
  </r>
  <r>
    <x v="75"/>
    <x v="3"/>
    <n v="1"/>
    <x v="0"/>
    <x v="7"/>
    <x v="0"/>
    <x v="3"/>
    <x v="0"/>
    <x v="16"/>
    <x v="20"/>
    <x v="32"/>
    <x v="12"/>
    <x v="4"/>
    <x v="50"/>
    <x v="12"/>
  </r>
  <r>
    <x v="76"/>
    <x v="3"/>
    <n v="1"/>
    <x v="0"/>
    <x v="8"/>
    <x v="0"/>
    <x v="3"/>
    <x v="0"/>
    <x v="14"/>
    <x v="20"/>
    <x v="27"/>
    <x v="13"/>
    <x v="4"/>
    <x v="51"/>
    <x v="49"/>
  </r>
  <r>
    <x v="77"/>
    <x v="3"/>
    <n v="1"/>
    <x v="0"/>
    <x v="9"/>
    <x v="0"/>
    <x v="3"/>
    <x v="0"/>
    <x v="13"/>
    <x v="20"/>
    <x v="26"/>
    <x v="11"/>
    <x v="4"/>
    <x v="52"/>
    <x v="50"/>
  </r>
  <r>
    <x v="78"/>
    <x v="3"/>
    <n v="1"/>
    <x v="0"/>
    <x v="10"/>
    <x v="0"/>
    <x v="3"/>
    <x v="1"/>
    <x v="13"/>
    <x v="14"/>
    <x v="27"/>
    <x v="14"/>
    <x v="2"/>
    <x v="53"/>
    <x v="51"/>
  </r>
  <r>
    <x v="79"/>
    <x v="3"/>
    <n v="1"/>
    <x v="0"/>
    <x v="11"/>
    <x v="0"/>
    <x v="3"/>
    <x v="0"/>
    <x v="1"/>
    <x v="12"/>
    <x v="33"/>
    <x v="9"/>
    <x v="18"/>
    <x v="54"/>
    <x v="52"/>
  </r>
  <r>
    <x v="80"/>
    <x v="3"/>
    <n v="1"/>
    <x v="0"/>
    <x v="12"/>
    <x v="0"/>
    <x v="3"/>
    <x v="0"/>
    <x v="1"/>
    <x v="11"/>
    <x v="33"/>
    <x v="13"/>
    <x v="6"/>
    <x v="43"/>
    <x v="53"/>
  </r>
  <r>
    <x v="81"/>
    <x v="3"/>
    <n v="1"/>
    <x v="0"/>
    <x v="13"/>
    <x v="0"/>
    <x v="3"/>
    <x v="0"/>
    <x v="0"/>
    <x v="11"/>
    <x v="34"/>
    <x v="10"/>
    <x v="25"/>
    <x v="55"/>
    <x v="54"/>
  </r>
  <r>
    <x v="82"/>
    <x v="3"/>
    <n v="1"/>
    <x v="0"/>
    <x v="14"/>
    <x v="0"/>
    <x v="3"/>
    <x v="0"/>
    <x v="12"/>
    <x v="2"/>
    <x v="35"/>
    <x v="11"/>
    <x v="14"/>
    <x v="25"/>
    <x v="55"/>
  </r>
  <r>
    <x v="83"/>
    <x v="3"/>
    <n v="1"/>
    <x v="0"/>
    <x v="15"/>
    <x v="0"/>
    <x v="3"/>
    <x v="0"/>
    <x v="17"/>
    <x v="1"/>
    <x v="35"/>
    <x v="7"/>
    <x v="26"/>
    <x v="41"/>
    <x v="32"/>
  </r>
  <r>
    <x v="84"/>
    <x v="3"/>
    <n v="1"/>
    <x v="0"/>
    <x v="16"/>
    <x v="0"/>
    <x v="3"/>
    <x v="0"/>
    <x v="11"/>
    <x v="0"/>
    <x v="36"/>
    <x v="7"/>
    <x v="13"/>
    <x v="56"/>
    <x v="56"/>
  </r>
  <r>
    <x v="85"/>
    <x v="3"/>
    <n v="1"/>
    <x v="0"/>
    <x v="17"/>
    <x v="0"/>
    <x v="3"/>
    <x v="0"/>
    <x v="17"/>
    <x v="1"/>
    <x v="37"/>
    <x v="11"/>
    <x v="22"/>
    <x v="57"/>
    <x v="57"/>
  </r>
  <r>
    <x v="86"/>
    <x v="3"/>
    <n v="1"/>
    <x v="0"/>
    <x v="18"/>
    <x v="0"/>
    <x v="3"/>
    <x v="0"/>
    <x v="12"/>
    <x v="2"/>
    <x v="37"/>
    <x v="10"/>
    <x v="0"/>
    <x v="58"/>
    <x v="58"/>
  </r>
  <r>
    <x v="87"/>
    <x v="3"/>
    <n v="1"/>
    <x v="0"/>
    <x v="19"/>
    <x v="0"/>
    <x v="3"/>
    <x v="0"/>
    <x v="0"/>
    <x v="2"/>
    <x v="37"/>
    <x v="19"/>
    <x v="4"/>
    <x v="59"/>
    <x v="59"/>
  </r>
  <r>
    <x v="88"/>
    <x v="3"/>
    <n v="1"/>
    <x v="0"/>
    <x v="20"/>
    <x v="0"/>
    <x v="3"/>
    <x v="0"/>
    <x v="0"/>
    <x v="2"/>
    <x v="37"/>
    <x v="19"/>
    <x v="5"/>
    <x v="42"/>
    <x v="60"/>
  </r>
  <r>
    <x v="89"/>
    <x v="3"/>
    <n v="1"/>
    <x v="0"/>
    <x v="21"/>
    <x v="0"/>
    <x v="3"/>
    <x v="0"/>
    <x v="1"/>
    <x v="1"/>
    <x v="26"/>
    <x v="21"/>
    <x v="3"/>
    <x v="41"/>
    <x v="61"/>
  </r>
  <r>
    <x v="90"/>
    <x v="3"/>
    <n v="1"/>
    <x v="0"/>
    <x v="22"/>
    <x v="0"/>
    <x v="3"/>
    <x v="0"/>
    <x v="1"/>
    <x v="2"/>
    <x v="26"/>
    <x v="3"/>
    <x v="5"/>
    <x v="60"/>
    <x v="17"/>
  </r>
  <r>
    <x v="91"/>
    <x v="3"/>
    <n v="1"/>
    <x v="0"/>
    <x v="23"/>
    <x v="0"/>
    <x v="3"/>
    <x v="0"/>
    <x v="2"/>
    <x v="11"/>
    <x v="27"/>
    <x v="3"/>
    <x v="4"/>
    <x v="33"/>
    <x v="62"/>
  </r>
  <r>
    <x v="92"/>
    <x v="4"/>
    <n v="1"/>
    <x v="0"/>
    <x v="0"/>
    <x v="0"/>
    <x v="4"/>
    <x v="0"/>
    <x v="2"/>
    <x v="2"/>
    <x v="26"/>
    <x v="22"/>
    <x v="3"/>
    <x v="8"/>
    <x v="24"/>
  </r>
  <r>
    <x v="93"/>
    <x v="4"/>
    <n v="1"/>
    <x v="0"/>
    <x v="1"/>
    <x v="0"/>
    <x v="4"/>
    <x v="0"/>
    <x v="13"/>
    <x v="13"/>
    <x v="32"/>
    <x v="3"/>
    <x v="3"/>
    <x v="8"/>
    <x v="24"/>
  </r>
  <r>
    <x v="94"/>
    <x v="4"/>
    <n v="1"/>
    <x v="0"/>
    <x v="2"/>
    <x v="0"/>
    <x v="4"/>
    <x v="0"/>
    <x v="13"/>
    <x v="13"/>
    <x v="32"/>
    <x v="3"/>
    <x v="3"/>
    <x v="6"/>
    <x v="5"/>
  </r>
  <r>
    <x v="95"/>
    <x v="4"/>
    <n v="1"/>
    <x v="0"/>
    <x v="4"/>
    <x v="0"/>
    <x v="4"/>
    <x v="0"/>
    <x v="0"/>
    <x v="11"/>
    <x v="37"/>
    <x v="11"/>
    <x v="3"/>
    <x v="6"/>
    <x v="5"/>
  </r>
  <r>
    <x v="96"/>
    <x v="4"/>
    <n v="1"/>
    <x v="0"/>
    <x v="5"/>
    <x v="0"/>
    <x v="4"/>
    <x v="0"/>
    <x v="1"/>
    <x v="11"/>
    <x v="19"/>
    <x v="13"/>
    <x v="3"/>
    <x v="35"/>
    <x v="6"/>
  </r>
  <r>
    <x v="97"/>
    <x v="4"/>
    <n v="1"/>
    <x v="0"/>
    <x v="6"/>
    <x v="0"/>
    <x v="4"/>
    <x v="0"/>
    <x v="2"/>
    <x v="13"/>
    <x v="19"/>
    <x v="11"/>
    <x v="3"/>
    <x v="39"/>
    <x v="63"/>
  </r>
  <r>
    <x v="98"/>
    <x v="4"/>
    <n v="1"/>
    <x v="0"/>
    <x v="7"/>
    <x v="0"/>
    <x v="4"/>
    <x v="0"/>
    <x v="15"/>
    <x v="18"/>
    <x v="21"/>
    <x v="10"/>
    <x v="5"/>
    <x v="61"/>
    <x v="39"/>
  </r>
  <r>
    <x v="99"/>
    <x v="4"/>
    <n v="1"/>
    <x v="0"/>
    <x v="8"/>
    <x v="0"/>
    <x v="4"/>
    <x v="0"/>
    <x v="2"/>
    <x v="18"/>
    <x v="22"/>
    <x v="9"/>
    <x v="0"/>
    <x v="62"/>
    <x v="64"/>
  </r>
  <r>
    <x v="100"/>
    <x v="4"/>
    <n v="1"/>
    <x v="0"/>
    <x v="9"/>
    <x v="0"/>
    <x v="4"/>
    <x v="0"/>
    <x v="1"/>
    <x v="13"/>
    <x v="38"/>
    <x v="14"/>
    <x v="15"/>
    <x v="63"/>
    <x v="65"/>
  </r>
  <r>
    <x v="101"/>
    <x v="4"/>
    <n v="1"/>
    <x v="0"/>
    <x v="10"/>
    <x v="0"/>
    <x v="4"/>
    <x v="0"/>
    <x v="1"/>
    <x v="13"/>
    <x v="38"/>
    <x v="14"/>
    <x v="17"/>
    <x v="42"/>
    <x v="52"/>
  </r>
  <r>
    <x v="102"/>
    <x v="4"/>
    <n v="1"/>
    <x v="0"/>
    <x v="11"/>
    <x v="0"/>
    <x v="4"/>
    <x v="0"/>
    <x v="12"/>
    <x v="11"/>
    <x v="39"/>
    <x v="14"/>
    <x v="6"/>
    <x v="60"/>
    <x v="66"/>
  </r>
  <r>
    <x v="103"/>
    <x v="4"/>
    <n v="1"/>
    <x v="0"/>
    <x v="12"/>
    <x v="0"/>
    <x v="4"/>
    <x v="0"/>
    <x v="12"/>
    <x v="11"/>
    <x v="39"/>
    <x v="14"/>
    <x v="2"/>
    <x v="64"/>
    <x v="67"/>
  </r>
  <r>
    <x v="104"/>
    <x v="4"/>
    <n v="1"/>
    <x v="0"/>
    <x v="13"/>
    <x v="0"/>
    <x v="4"/>
    <x v="0"/>
    <x v="17"/>
    <x v="2"/>
    <x v="24"/>
    <x v="9"/>
    <x v="15"/>
    <x v="65"/>
    <x v="68"/>
  </r>
  <r>
    <x v="105"/>
    <x v="4"/>
    <n v="1"/>
    <x v="0"/>
    <x v="14"/>
    <x v="0"/>
    <x v="4"/>
    <x v="0"/>
    <x v="11"/>
    <x v="0"/>
    <x v="40"/>
    <x v="10"/>
    <x v="22"/>
    <x v="15"/>
    <x v="69"/>
  </r>
  <r>
    <x v="106"/>
    <x v="4"/>
    <n v="1"/>
    <x v="0"/>
    <x v="15"/>
    <x v="0"/>
    <x v="4"/>
    <x v="0"/>
    <x v="11"/>
    <x v="0"/>
    <x v="40"/>
    <x v="10"/>
    <x v="18"/>
    <x v="11"/>
    <x v="69"/>
  </r>
  <r>
    <x v="107"/>
    <x v="4"/>
    <n v="1"/>
    <x v="0"/>
    <x v="16"/>
    <x v="0"/>
    <x v="4"/>
    <x v="0"/>
    <x v="11"/>
    <x v="21"/>
    <x v="40"/>
    <x v="3"/>
    <x v="17"/>
    <x v="66"/>
    <x v="70"/>
  </r>
  <r>
    <x v="108"/>
    <x v="4"/>
    <n v="1"/>
    <x v="0"/>
    <x v="17"/>
    <x v="0"/>
    <x v="4"/>
    <x v="0"/>
    <x v="0"/>
    <x v="11"/>
    <x v="41"/>
    <x v="10"/>
    <x v="17"/>
    <x v="67"/>
    <x v="71"/>
  </r>
  <r>
    <x v="109"/>
    <x v="4"/>
    <n v="1"/>
    <x v="0"/>
    <x v="18"/>
    <x v="0"/>
    <x v="4"/>
    <x v="0"/>
    <x v="0"/>
    <x v="19"/>
    <x v="41"/>
    <x v="12"/>
    <x v="0"/>
    <x v="68"/>
    <x v="72"/>
  </r>
  <r>
    <x v="110"/>
    <x v="4"/>
    <n v="1"/>
    <x v="0"/>
    <x v="19"/>
    <x v="0"/>
    <x v="4"/>
    <x v="0"/>
    <x v="0"/>
    <x v="2"/>
    <x v="41"/>
    <x v="19"/>
    <x v="2"/>
    <x v="69"/>
    <x v="73"/>
  </r>
  <r>
    <x v="111"/>
    <x v="4"/>
    <n v="1"/>
    <x v="0"/>
    <x v="20"/>
    <x v="0"/>
    <x v="4"/>
    <x v="0"/>
    <x v="1"/>
    <x v="11"/>
    <x v="19"/>
    <x v="13"/>
    <x v="18"/>
    <x v="70"/>
    <x v="70"/>
  </r>
  <r>
    <x v="112"/>
    <x v="4"/>
    <n v="1"/>
    <x v="0"/>
    <x v="21"/>
    <x v="0"/>
    <x v="4"/>
    <x v="0"/>
    <x v="2"/>
    <x v="13"/>
    <x v="33"/>
    <x v="10"/>
    <x v="0"/>
    <x v="71"/>
    <x v="74"/>
  </r>
  <r>
    <x v="113"/>
    <x v="4"/>
    <n v="1"/>
    <x v="0"/>
    <x v="22"/>
    <x v="0"/>
    <x v="4"/>
    <x v="0"/>
    <x v="15"/>
    <x v="13"/>
    <x v="28"/>
    <x v="12"/>
    <x v="5"/>
    <x v="40"/>
    <x v="51"/>
  </r>
  <r>
    <x v="114"/>
    <x v="4"/>
    <n v="1"/>
    <x v="0"/>
    <x v="23"/>
    <x v="0"/>
    <x v="4"/>
    <x v="0"/>
    <x v="2"/>
    <x v="2"/>
    <x v="19"/>
    <x v="20"/>
    <x v="5"/>
    <x v="72"/>
    <x v="75"/>
  </r>
  <r>
    <x v="115"/>
    <x v="5"/>
    <n v="1"/>
    <x v="0"/>
    <x v="0"/>
    <x v="0"/>
    <x v="5"/>
    <x v="0"/>
    <x v="15"/>
    <x v="19"/>
    <x v="28"/>
    <x v="23"/>
    <x v="3"/>
    <x v="48"/>
    <x v="62"/>
  </r>
  <r>
    <x v="116"/>
    <x v="5"/>
    <n v="1"/>
    <x v="0"/>
    <x v="1"/>
    <x v="0"/>
    <x v="5"/>
    <x v="0"/>
    <x v="13"/>
    <x v="11"/>
    <x v="26"/>
    <x v="24"/>
    <x v="3"/>
    <x v="22"/>
    <x v="48"/>
  </r>
  <r>
    <x v="117"/>
    <x v="5"/>
    <n v="1"/>
    <x v="0"/>
    <x v="2"/>
    <x v="0"/>
    <x v="5"/>
    <x v="0"/>
    <x v="13"/>
    <x v="11"/>
    <x v="26"/>
    <x v="24"/>
    <x v="3"/>
    <x v="6"/>
    <x v="5"/>
  </r>
  <r>
    <x v="118"/>
    <x v="5"/>
    <n v="1"/>
    <x v="0"/>
    <x v="4"/>
    <x v="0"/>
    <x v="5"/>
    <x v="1"/>
    <x v="13"/>
    <x v="13"/>
    <x v="26"/>
    <x v="3"/>
    <x v="3"/>
    <x v="4"/>
    <x v="4"/>
  </r>
  <r>
    <x v="119"/>
    <x v="5"/>
    <n v="1"/>
    <x v="0"/>
    <x v="5"/>
    <x v="0"/>
    <x v="5"/>
    <x v="1"/>
    <x v="14"/>
    <x v="18"/>
    <x v="27"/>
    <x v="3"/>
    <x v="3"/>
    <x v="22"/>
    <x v="48"/>
  </r>
  <r>
    <x v="120"/>
    <x v="5"/>
    <n v="1"/>
    <x v="0"/>
    <x v="6"/>
    <x v="0"/>
    <x v="5"/>
    <x v="1"/>
    <x v="14"/>
    <x v="17"/>
    <x v="30"/>
    <x v="19"/>
    <x v="3"/>
    <x v="49"/>
    <x v="9"/>
  </r>
  <r>
    <x v="121"/>
    <x v="5"/>
    <n v="1"/>
    <x v="0"/>
    <x v="7"/>
    <x v="0"/>
    <x v="5"/>
    <x v="1"/>
    <x v="13"/>
    <x v="11"/>
    <x v="29"/>
    <x v="25"/>
    <x v="3"/>
    <x v="73"/>
    <x v="76"/>
  </r>
  <r>
    <x v="122"/>
    <x v="5"/>
    <n v="1"/>
    <x v="0"/>
    <x v="8"/>
    <x v="0"/>
    <x v="5"/>
    <x v="0"/>
    <x v="13"/>
    <x v="11"/>
    <x v="29"/>
    <x v="25"/>
    <x v="0"/>
    <x v="74"/>
    <x v="77"/>
  </r>
  <r>
    <x v="123"/>
    <x v="5"/>
    <n v="1"/>
    <x v="0"/>
    <x v="9"/>
    <x v="0"/>
    <x v="5"/>
    <x v="1"/>
    <x v="15"/>
    <x v="19"/>
    <x v="33"/>
    <x v="26"/>
    <x v="15"/>
    <x v="75"/>
    <x v="78"/>
  </r>
  <r>
    <x v="124"/>
    <x v="5"/>
    <n v="1"/>
    <x v="0"/>
    <x v="10"/>
    <x v="0"/>
    <x v="5"/>
    <x v="0"/>
    <x v="2"/>
    <x v="2"/>
    <x v="19"/>
    <x v="20"/>
    <x v="0"/>
    <x v="76"/>
    <x v="79"/>
  </r>
  <r>
    <x v="125"/>
    <x v="5"/>
    <n v="1"/>
    <x v="0"/>
    <x v="11"/>
    <x v="0"/>
    <x v="5"/>
    <x v="0"/>
    <x v="1"/>
    <x v="2"/>
    <x v="18"/>
    <x v="3"/>
    <x v="4"/>
    <x v="77"/>
    <x v="29"/>
  </r>
  <r>
    <x v="126"/>
    <x v="5"/>
    <n v="1"/>
    <x v="0"/>
    <x v="12"/>
    <x v="0"/>
    <x v="5"/>
    <x v="0"/>
    <x v="12"/>
    <x v="0"/>
    <x v="23"/>
    <x v="27"/>
    <x v="15"/>
    <x v="78"/>
    <x v="11"/>
  </r>
  <r>
    <x v="127"/>
    <x v="5"/>
    <n v="1"/>
    <x v="0"/>
    <x v="13"/>
    <x v="0"/>
    <x v="5"/>
    <x v="0"/>
    <x v="12"/>
    <x v="1"/>
    <x v="23"/>
    <x v="19"/>
    <x v="6"/>
    <x v="11"/>
    <x v="16"/>
  </r>
  <r>
    <x v="128"/>
    <x v="5"/>
    <n v="1"/>
    <x v="0"/>
    <x v="14"/>
    <x v="0"/>
    <x v="5"/>
    <x v="0"/>
    <x v="17"/>
    <x v="1"/>
    <x v="42"/>
    <x v="13"/>
    <x v="16"/>
    <x v="79"/>
    <x v="27"/>
  </r>
  <r>
    <x v="129"/>
    <x v="5"/>
    <n v="1"/>
    <x v="0"/>
    <x v="15"/>
    <x v="0"/>
    <x v="5"/>
    <x v="0"/>
    <x v="17"/>
    <x v="1"/>
    <x v="42"/>
    <x v="28"/>
    <x v="1"/>
    <x v="25"/>
    <x v="69"/>
  </r>
  <r>
    <x v="130"/>
    <x v="5"/>
    <n v="1"/>
    <x v="0"/>
    <x v="16"/>
    <x v="0"/>
    <x v="5"/>
    <x v="0"/>
    <x v="12"/>
    <x v="2"/>
    <x v="41"/>
    <x v="13"/>
    <x v="6"/>
    <x v="64"/>
    <x v="80"/>
  </r>
  <r>
    <x v="131"/>
    <x v="5"/>
    <n v="1"/>
    <x v="0"/>
    <x v="17"/>
    <x v="0"/>
    <x v="5"/>
    <x v="0"/>
    <x v="1"/>
    <x v="11"/>
    <x v="33"/>
    <x v="13"/>
    <x v="14"/>
    <x v="80"/>
    <x v="81"/>
  </r>
  <r>
    <x v="132"/>
    <x v="5"/>
    <n v="1"/>
    <x v="0"/>
    <x v="18"/>
    <x v="0"/>
    <x v="5"/>
    <x v="0"/>
    <x v="1"/>
    <x v="11"/>
    <x v="33"/>
    <x v="12"/>
    <x v="2"/>
    <x v="81"/>
    <x v="82"/>
  </r>
  <r>
    <x v="133"/>
    <x v="5"/>
    <n v="1"/>
    <x v="0"/>
    <x v="19"/>
    <x v="0"/>
    <x v="5"/>
    <x v="0"/>
    <x v="1"/>
    <x v="2"/>
    <x v="28"/>
    <x v="3"/>
    <x v="0"/>
    <x v="63"/>
    <x v="59"/>
  </r>
  <r>
    <x v="134"/>
    <x v="5"/>
    <n v="1"/>
    <x v="0"/>
    <x v="20"/>
    <x v="0"/>
    <x v="5"/>
    <x v="0"/>
    <x v="2"/>
    <x v="12"/>
    <x v="33"/>
    <x v="13"/>
    <x v="0"/>
    <x v="43"/>
    <x v="83"/>
  </r>
  <r>
    <x v="135"/>
    <x v="5"/>
    <n v="1"/>
    <x v="0"/>
    <x v="21"/>
    <x v="0"/>
    <x v="5"/>
    <x v="1"/>
    <x v="1"/>
    <x v="12"/>
    <x v="28"/>
    <x v="11"/>
    <x v="3"/>
    <x v="41"/>
    <x v="61"/>
  </r>
  <r>
    <x v="136"/>
    <x v="5"/>
    <n v="1"/>
    <x v="0"/>
    <x v="22"/>
    <x v="0"/>
    <x v="5"/>
    <x v="1"/>
    <x v="1"/>
    <x v="12"/>
    <x v="33"/>
    <x v="8"/>
    <x v="5"/>
    <x v="82"/>
    <x v="46"/>
  </r>
  <r>
    <x v="137"/>
    <x v="5"/>
    <n v="1"/>
    <x v="0"/>
    <x v="23"/>
    <x v="0"/>
    <x v="5"/>
    <x v="1"/>
    <x v="2"/>
    <x v="13"/>
    <x v="29"/>
    <x v="10"/>
    <x v="17"/>
    <x v="23"/>
    <x v="84"/>
  </r>
  <r>
    <x v="138"/>
    <x v="6"/>
    <n v="1"/>
    <x v="0"/>
    <x v="0"/>
    <x v="0"/>
    <x v="6"/>
    <x v="1"/>
    <x v="2"/>
    <x v="13"/>
    <x v="26"/>
    <x v="10"/>
    <x v="17"/>
    <x v="0"/>
    <x v="22"/>
  </r>
  <r>
    <x v="139"/>
    <x v="6"/>
    <n v="1"/>
    <x v="0"/>
    <x v="1"/>
    <x v="0"/>
    <x v="6"/>
    <x v="1"/>
    <x v="2"/>
    <x v="13"/>
    <x v="27"/>
    <x v="11"/>
    <x v="4"/>
    <x v="34"/>
    <x v="85"/>
  </r>
  <r>
    <x v="140"/>
    <x v="6"/>
    <n v="1"/>
    <x v="0"/>
    <x v="2"/>
    <x v="0"/>
    <x v="6"/>
    <x v="1"/>
    <x v="2"/>
    <x v="13"/>
    <x v="27"/>
    <x v="11"/>
    <x v="3"/>
    <x v="4"/>
    <x v="4"/>
  </r>
  <r>
    <x v="141"/>
    <x v="6"/>
    <n v="1"/>
    <x v="0"/>
    <x v="4"/>
    <x v="0"/>
    <x v="6"/>
    <x v="1"/>
    <x v="2"/>
    <x v="12"/>
    <x v="27"/>
    <x v="12"/>
    <x v="3"/>
    <x v="4"/>
    <x v="4"/>
  </r>
  <r>
    <x v="142"/>
    <x v="6"/>
    <n v="1"/>
    <x v="0"/>
    <x v="5"/>
    <x v="0"/>
    <x v="6"/>
    <x v="2"/>
    <x v="1"/>
    <x v="1"/>
    <x v="28"/>
    <x v="29"/>
    <x v="3"/>
    <x v="34"/>
    <x v="36"/>
  </r>
  <r>
    <x v="143"/>
    <x v="6"/>
    <n v="1"/>
    <x v="0"/>
    <x v="6"/>
    <x v="0"/>
    <x v="6"/>
    <x v="1"/>
    <x v="2"/>
    <x v="2"/>
    <x v="27"/>
    <x v="30"/>
    <x v="1"/>
    <x v="16"/>
    <x v="19"/>
  </r>
  <r>
    <x v="144"/>
    <x v="6"/>
    <n v="1"/>
    <x v="0"/>
    <x v="7"/>
    <x v="0"/>
    <x v="6"/>
    <x v="0"/>
    <x v="2"/>
    <x v="12"/>
    <x v="27"/>
    <x v="12"/>
    <x v="1"/>
    <x v="83"/>
    <x v="11"/>
  </r>
  <r>
    <x v="145"/>
    <x v="6"/>
    <n v="1"/>
    <x v="0"/>
    <x v="8"/>
    <x v="0"/>
    <x v="6"/>
    <x v="0"/>
    <x v="2"/>
    <x v="13"/>
    <x v="33"/>
    <x v="7"/>
    <x v="20"/>
    <x v="84"/>
    <x v="86"/>
  </r>
  <r>
    <x v="146"/>
    <x v="6"/>
    <n v="1"/>
    <x v="0"/>
    <x v="9"/>
    <x v="0"/>
    <x v="6"/>
    <x v="0"/>
    <x v="2"/>
    <x v="18"/>
    <x v="19"/>
    <x v="9"/>
    <x v="14"/>
    <x v="85"/>
    <x v="87"/>
  </r>
  <r>
    <x v="147"/>
    <x v="6"/>
    <n v="1"/>
    <x v="0"/>
    <x v="10"/>
    <x v="0"/>
    <x v="6"/>
    <x v="0"/>
    <x v="1"/>
    <x v="13"/>
    <x v="38"/>
    <x v="14"/>
    <x v="19"/>
    <x v="12"/>
    <x v="55"/>
  </r>
  <r>
    <x v="148"/>
    <x v="6"/>
    <n v="1"/>
    <x v="0"/>
    <x v="11"/>
    <x v="0"/>
    <x v="6"/>
    <x v="1"/>
    <x v="2"/>
    <x v="13"/>
    <x v="22"/>
    <x v="11"/>
    <x v="21"/>
    <x v="41"/>
    <x v="16"/>
  </r>
  <r>
    <x v="149"/>
    <x v="6"/>
    <n v="1"/>
    <x v="0"/>
    <x v="12"/>
    <x v="0"/>
    <x v="6"/>
    <x v="1"/>
    <x v="2"/>
    <x v="13"/>
    <x v="38"/>
    <x v="7"/>
    <x v="14"/>
    <x v="54"/>
    <x v="29"/>
  </r>
  <r>
    <x v="150"/>
    <x v="6"/>
    <n v="1"/>
    <x v="0"/>
    <x v="13"/>
    <x v="0"/>
    <x v="6"/>
    <x v="1"/>
    <x v="2"/>
    <x v="18"/>
    <x v="38"/>
    <x v="8"/>
    <x v="14"/>
    <x v="27"/>
    <x v="88"/>
  </r>
  <r>
    <x v="151"/>
    <x v="6"/>
    <n v="1"/>
    <x v="0"/>
    <x v="14"/>
    <x v="0"/>
    <x v="6"/>
    <x v="1"/>
    <x v="2"/>
    <x v="13"/>
    <x v="22"/>
    <x v="7"/>
    <x v="18"/>
    <x v="30"/>
    <x v="89"/>
  </r>
  <r>
    <x v="152"/>
    <x v="6"/>
    <n v="1"/>
    <x v="0"/>
    <x v="15"/>
    <x v="0"/>
    <x v="6"/>
    <x v="1"/>
    <x v="2"/>
    <x v="12"/>
    <x v="38"/>
    <x v="13"/>
    <x v="14"/>
    <x v="36"/>
    <x v="44"/>
  </r>
  <r>
    <x v="153"/>
    <x v="6"/>
    <n v="1"/>
    <x v="0"/>
    <x v="16"/>
    <x v="0"/>
    <x v="6"/>
    <x v="1"/>
    <x v="2"/>
    <x v="12"/>
    <x v="38"/>
    <x v="13"/>
    <x v="2"/>
    <x v="70"/>
    <x v="90"/>
  </r>
  <r>
    <x v="154"/>
    <x v="6"/>
    <n v="1"/>
    <x v="0"/>
    <x v="17"/>
    <x v="0"/>
    <x v="6"/>
    <x v="1"/>
    <x v="2"/>
    <x v="2"/>
    <x v="38"/>
    <x v="31"/>
    <x v="14"/>
    <x v="86"/>
    <x v="91"/>
  </r>
  <r>
    <x v="155"/>
    <x v="6"/>
    <n v="1"/>
    <x v="0"/>
    <x v="18"/>
    <x v="0"/>
    <x v="6"/>
    <x v="0"/>
    <x v="2"/>
    <x v="11"/>
    <x v="22"/>
    <x v="3"/>
    <x v="18"/>
    <x v="75"/>
    <x v="92"/>
  </r>
  <r>
    <x v="156"/>
    <x v="6"/>
    <n v="1"/>
    <x v="0"/>
    <x v="19"/>
    <x v="0"/>
    <x v="6"/>
    <x v="0"/>
    <x v="13"/>
    <x v="13"/>
    <x v="28"/>
    <x v="3"/>
    <x v="0"/>
    <x v="50"/>
    <x v="76"/>
  </r>
  <r>
    <x v="157"/>
    <x v="6"/>
    <n v="1"/>
    <x v="0"/>
    <x v="20"/>
    <x v="0"/>
    <x v="6"/>
    <x v="0"/>
    <x v="15"/>
    <x v="12"/>
    <x v="19"/>
    <x v="19"/>
    <x v="5"/>
    <x v="54"/>
    <x v="41"/>
  </r>
  <r>
    <x v="158"/>
    <x v="6"/>
    <n v="1"/>
    <x v="0"/>
    <x v="21"/>
    <x v="0"/>
    <x v="6"/>
    <x v="0"/>
    <x v="15"/>
    <x v="13"/>
    <x v="19"/>
    <x v="12"/>
    <x v="3"/>
    <x v="87"/>
    <x v="21"/>
  </r>
  <r>
    <x v="159"/>
    <x v="6"/>
    <n v="1"/>
    <x v="0"/>
    <x v="22"/>
    <x v="0"/>
    <x v="6"/>
    <x v="1"/>
    <x v="15"/>
    <x v="13"/>
    <x v="21"/>
    <x v="13"/>
    <x v="4"/>
    <x v="60"/>
    <x v="9"/>
  </r>
  <r>
    <x v="160"/>
    <x v="6"/>
    <n v="1"/>
    <x v="0"/>
    <x v="23"/>
    <x v="0"/>
    <x v="6"/>
    <x v="1"/>
    <x v="15"/>
    <x v="13"/>
    <x v="33"/>
    <x v="13"/>
    <x v="5"/>
    <x v="88"/>
    <x v="93"/>
  </r>
  <r>
    <x v="161"/>
    <x v="7"/>
    <n v="1"/>
    <x v="0"/>
    <x v="0"/>
    <x v="0"/>
    <x v="0"/>
    <x v="1"/>
    <x v="15"/>
    <x v="13"/>
    <x v="33"/>
    <x v="13"/>
    <x v="5"/>
    <x v="9"/>
    <x v="94"/>
  </r>
  <r>
    <x v="162"/>
    <x v="7"/>
    <n v="1"/>
    <x v="0"/>
    <x v="1"/>
    <x v="0"/>
    <x v="0"/>
    <x v="1"/>
    <x v="15"/>
    <x v="12"/>
    <x v="28"/>
    <x v="3"/>
    <x v="5"/>
    <x v="89"/>
    <x v="0"/>
  </r>
  <r>
    <x v="163"/>
    <x v="7"/>
    <n v="1"/>
    <x v="0"/>
    <x v="2"/>
    <x v="0"/>
    <x v="0"/>
    <x v="1"/>
    <x v="15"/>
    <x v="19"/>
    <x v="28"/>
    <x v="23"/>
    <x v="0"/>
    <x v="0"/>
    <x v="0"/>
  </r>
  <r>
    <x v="164"/>
    <x v="7"/>
    <n v="1"/>
    <x v="0"/>
    <x v="3"/>
    <x v="0"/>
    <x v="0"/>
    <x v="2"/>
    <x v="15"/>
    <x v="13"/>
    <x v="28"/>
    <x v="13"/>
    <x v="3"/>
    <x v="7"/>
    <x v="85"/>
  </r>
  <r>
    <x v="165"/>
    <x v="7"/>
    <n v="1"/>
    <x v="0"/>
    <x v="4"/>
    <x v="0"/>
    <x v="0"/>
    <x v="2"/>
    <x v="15"/>
    <x v="13"/>
    <x v="28"/>
    <x v="13"/>
    <x v="3"/>
    <x v="4"/>
    <x v="4"/>
  </r>
  <r>
    <x v="166"/>
    <x v="7"/>
    <n v="1"/>
    <x v="0"/>
    <x v="5"/>
    <x v="0"/>
    <x v="0"/>
    <x v="1"/>
    <x v="13"/>
    <x v="17"/>
    <x v="32"/>
    <x v="13"/>
    <x v="3"/>
    <x v="34"/>
    <x v="36"/>
  </r>
  <r>
    <x v="167"/>
    <x v="7"/>
    <n v="1"/>
    <x v="0"/>
    <x v="6"/>
    <x v="0"/>
    <x v="0"/>
    <x v="1"/>
    <x v="13"/>
    <x v="17"/>
    <x v="32"/>
    <x v="13"/>
    <x v="3"/>
    <x v="6"/>
    <x v="5"/>
  </r>
  <r>
    <x v="168"/>
    <x v="7"/>
    <n v="1"/>
    <x v="0"/>
    <x v="7"/>
    <x v="0"/>
    <x v="0"/>
    <x v="1"/>
    <x v="13"/>
    <x v="18"/>
    <x v="32"/>
    <x v="19"/>
    <x v="5"/>
    <x v="21"/>
    <x v="23"/>
  </r>
  <r>
    <x v="169"/>
    <x v="7"/>
    <n v="1"/>
    <x v="0"/>
    <x v="8"/>
    <x v="0"/>
    <x v="0"/>
    <x v="2"/>
    <x v="13"/>
    <x v="18"/>
    <x v="43"/>
    <x v="19"/>
    <x v="3"/>
    <x v="89"/>
    <x v="93"/>
  </r>
  <r>
    <x v="170"/>
    <x v="7"/>
    <n v="1"/>
    <x v="0"/>
    <x v="9"/>
    <x v="0"/>
    <x v="0"/>
    <x v="2"/>
    <x v="13"/>
    <x v="18"/>
    <x v="43"/>
    <x v="19"/>
    <x v="3"/>
    <x v="32"/>
    <x v="25"/>
  </r>
  <r>
    <x v="171"/>
    <x v="7"/>
    <n v="1"/>
    <x v="0"/>
    <x v="10"/>
    <x v="0"/>
    <x v="0"/>
    <x v="1"/>
    <x v="15"/>
    <x v="13"/>
    <x v="1"/>
    <x v="13"/>
    <x v="2"/>
    <x v="90"/>
    <x v="42"/>
  </r>
  <r>
    <x v="172"/>
    <x v="7"/>
    <n v="1"/>
    <x v="0"/>
    <x v="11"/>
    <x v="0"/>
    <x v="0"/>
    <x v="1"/>
    <x v="2"/>
    <x v="18"/>
    <x v="27"/>
    <x v="18"/>
    <x v="4"/>
    <x v="91"/>
    <x v="69"/>
  </r>
  <r>
    <x v="173"/>
    <x v="7"/>
    <n v="1"/>
    <x v="0"/>
    <x v="12"/>
    <x v="0"/>
    <x v="0"/>
    <x v="1"/>
    <x v="2"/>
    <x v="18"/>
    <x v="29"/>
    <x v="16"/>
    <x v="1"/>
    <x v="92"/>
    <x v="95"/>
  </r>
  <r>
    <x v="174"/>
    <x v="7"/>
    <n v="1"/>
    <x v="0"/>
    <x v="13"/>
    <x v="0"/>
    <x v="0"/>
    <x v="0"/>
    <x v="2"/>
    <x v="18"/>
    <x v="18"/>
    <x v="14"/>
    <x v="18"/>
    <x v="73"/>
    <x v="96"/>
  </r>
  <r>
    <x v="175"/>
    <x v="7"/>
    <n v="1"/>
    <x v="0"/>
    <x v="14"/>
    <x v="0"/>
    <x v="0"/>
    <x v="0"/>
    <x v="2"/>
    <x v="17"/>
    <x v="25"/>
    <x v="32"/>
    <x v="6"/>
    <x v="93"/>
    <x v="76"/>
  </r>
  <r>
    <x v="176"/>
    <x v="7"/>
    <n v="1"/>
    <x v="0"/>
    <x v="15"/>
    <x v="0"/>
    <x v="0"/>
    <x v="0"/>
    <x v="2"/>
    <x v="17"/>
    <x v="25"/>
    <x v="15"/>
    <x v="2"/>
    <x v="94"/>
    <x v="30"/>
  </r>
  <r>
    <x v="177"/>
    <x v="7"/>
    <n v="1"/>
    <x v="0"/>
    <x v="16"/>
    <x v="0"/>
    <x v="0"/>
    <x v="0"/>
    <x v="15"/>
    <x v="14"/>
    <x v="44"/>
    <x v="15"/>
    <x v="1"/>
    <x v="56"/>
    <x v="31"/>
  </r>
  <r>
    <x v="178"/>
    <x v="7"/>
    <n v="1"/>
    <x v="0"/>
    <x v="17"/>
    <x v="0"/>
    <x v="0"/>
    <x v="0"/>
    <x v="13"/>
    <x v="16"/>
    <x v="38"/>
    <x v="33"/>
    <x v="2"/>
    <x v="27"/>
    <x v="83"/>
  </r>
  <r>
    <x v="179"/>
    <x v="7"/>
    <n v="1"/>
    <x v="0"/>
    <x v="18"/>
    <x v="0"/>
    <x v="0"/>
    <x v="0"/>
    <x v="14"/>
    <x v="16"/>
    <x v="17"/>
    <x v="9"/>
    <x v="0"/>
    <x v="15"/>
    <x v="97"/>
  </r>
  <r>
    <x v="180"/>
    <x v="7"/>
    <n v="1"/>
    <x v="0"/>
    <x v="19"/>
    <x v="0"/>
    <x v="0"/>
    <x v="0"/>
    <x v="14"/>
    <x v="16"/>
    <x v="42"/>
    <x v="7"/>
    <x v="17"/>
    <x v="16"/>
    <x v="33"/>
  </r>
  <r>
    <x v="181"/>
    <x v="7"/>
    <n v="1"/>
    <x v="0"/>
    <x v="20"/>
    <x v="0"/>
    <x v="0"/>
    <x v="0"/>
    <x v="16"/>
    <x v="16"/>
    <x v="42"/>
    <x v="7"/>
    <x v="3"/>
    <x v="95"/>
    <x v="20"/>
  </r>
  <r>
    <x v="182"/>
    <x v="7"/>
    <n v="1"/>
    <x v="0"/>
    <x v="21"/>
    <x v="0"/>
    <x v="0"/>
    <x v="0"/>
    <x v="16"/>
    <x v="15"/>
    <x v="17"/>
    <x v="16"/>
    <x v="4"/>
    <x v="96"/>
    <x v="18"/>
  </r>
  <r>
    <x v="183"/>
    <x v="7"/>
    <n v="1"/>
    <x v="0"/>
    <x v="22"/>
    <x v="0"/>
    <x v="0"/>
    <x v="0"/>
    <x v="16"/>
    <x v="15"/>
    <x v="42"/>
    <x v="18"/>
    <x v="5"/>
    <x v="39"/>
    <x v="19"/>
  </r>
  <r>
    <x v="184"/>
    <x v="7"/>
    <n v="1"/>
    <x v="0"/>
    <x v="23"/>
    <x v="0"/>
    <x v="0"/>
    <x v="0"/>
    <x v="18"/>
    <x v="22"/>
    <x v="17"/>
    <x v="15"/>
    <x v="3"/>
    <x v="97"/>
    <x v="34"/>
  </r>
  <r>
    <x v="185"/>
    <x v="8"/>
    <n v="1"/>
    <x v="0"/>
    <x v="0"/>
    <x v="0"/>
    <x v="1"/>
    <x v="0"/>
    <x v="18"/>
    <x v="23"/>
    <x v="16"/>
    <x v="18"/>
    <x v="5"/>
    <x v="9"/>
    <x v="94"/>
  </r>
  <r>
    <x v="186"/>
    <x v="8"/>
    <n v="1"/>
    <x v="0"/>
    <x v="1"/>
    <x v="0"/>
    <x v="1"/>
    <x v="0"/>
    <x v="18"/>
    <x v="22"/>
    <x v="16"/>
    <x v="34"/>
    <x v="3"/>
    <x v="98"/>
    <x v="47"/>
  </r>
  <r>
    <x v="187"/>
    <x v="8"/>
    <n v="1"/>
    <x v="0"/>
    <x v="2"/>
    <x v="0"/>
    <x v="1"/>
    <x v="0"/>
    <x v="18"/>
    <x v="22"/>
    <x v="15"/>
    <x v="34"/>
    <x v="3"/>
    <x v="48"/>
    <x v="62"/>
  </r>
  <r>
    <x v="188"/>
    <x v="8"/>
    <n v="1"/>
    <x v="0"/>
    <x v="3"/>
    <x v="0"/>
    <x v="1"/>
    <x v="0"/>
    <x v="18"/>
    <x v="23"/>
    <x v="15"/>
    <x v="17"/>
    <x v="3"/>
    <x v="22"/>
    <x v="48"/>
  </r>
  <r>
    <x v="189"/>
    <x v="8"/>
    <n v="1"/>
    <x v="0"/>
    <x v="4"/>
    <x v="0"/>
    <x v="1"/>
    <x v="0"/>
    <x v="19"/>
    <x v="24"/>
    <x v="45"/>
    <x v="10"/>
    <x v="3"/>
    <x v="4"/>
    <x v="4"/>
  </r>
  <r>
    <x v="190"/>
    <x v="8"/>
    <n v="1"/>
    <x v="0"/>
    <x v="5"/>
    <x v="0"/>
    <x v="1"/>
    <x v="0"/>
    <x v="19"/>
    <x v="24"/>
    <x v="45"/>
    <x v="10"/>
    <x v="3"/>
    <x v="4"/>
    <x v="4"/>
  </r>
  <r>
    <x v="191"/>
    <x v="8"/>
    <n v="1"/>
    <x v="0"/>
    <x v="6"/>
    <x v="0"/>
    <x v="1"/>
    <x v="0"/>
    <x v="18"/>
    <x v="24"/>
    <x v="36"/>
    <x v="8"/>
    <x v="3"/>
    <x v="4"/>
    <x v="4"/>
  </r>
  <r>
    <x v="192"/>
    <x v="8"/>
    <n v="1"/>
    <x v="0"/>
    <x v="7"/>
    <x v="0"/>
    <x v="1"/>
    <x v="0"/>
    <x v="19"/>
    <x v="24"/>
    <x v="45"/>
    <x v="10"/>
    <x v="5"/>
    <x v="34"/>
    <x v="24"/>
  </r>
  <r>
    <x v="193"/>
    <x v="8"/>
    <n v="1"/>
    <x v="0"/>
    <x v="8"/>
    <x v="0"/>
    <x v="1"/>
    <x v="0"/>
    <x v="18"/>
    <x v="24"/>
    <x v="36"/>
    <x v="8"/>
    <x v="3"/>
    <x v="3"/>
    <x v="98"/>
  </r>
  <r>
    <x v="194"/>
    <x v="8"/>
    <n v="1"/>
    <x v="0"/>
    <x v="9"/>
    <x v="0"/>
    <x v="1"/>
    <x v="0"/>
    <x v="16"/>
    <x v="23"/>
    <x v="15"/>
    <x v="35"/>
    <x v="3"/>
    <x v="23"/>
    <x v="75"/>
  </r>
  <r>
    <x v="195"/>
    <x v="8"/>
    <n v="1"/>
    <x v="0"/>
    <x v="10"/>
    <x v="0"/>
    <x v="1"/>
    <x v="0"/>
    <x v="14"/>
    <x v="15"/>
    <x v="21"/>
    <x v="18"/>
    <x v="3"/>
    <x v="47"/>
    <x v="99"/>
  </r>
  <r>
    <x v="196"/>
    <x v="8"/>
    <n v="1"/>
    <x v="0"/>
    <x v="11"/>
    <x v="0"/>
    <x v="1"/>
    <x v="0"/>
    <x v="13"/>
    <x v="16"/>
    <x v="22"/>
    <x v="35"/>
    <x v="4"/>
    <x v="12"/>
    <x v="99"/>
  </r>
  <r>
    <x v="197"/>
    <x v="8"/>
    <n v="1"/>
    <x v="0"/>
    <x v="12"/>
    <x v="0"/>
    <x v="1"/>
    <x v="0"/>
    <x v="15"/>
    <x v="14"/>
    <x v="38"/>
    <x v="15"/>
    <x v="17"/>
    <x v="55"/>
    <x v="56"/>
  </r>
  <r>
    <x v="198"/>
    <x v="8"/>
    <n v="1"/>
    <x v="0"/>
    <x v="13"/>
    <x v="0"/>
    <x v="1"/>
    <x v="0"/>
    <x v="2"/>
    <x v="17"/>
    <x v="46"/>
    <x v="15"/>
    <x v="15"/>
    <x v="94"/>
    <x v="28"/>
  </r>
  <r>
    <x v="199"/>
    <x v="8"/>
    <n v="1"/>
    <x v="0"/>
    <x v="14"/>
    <x v="0"/>
    <x v="1"/>
    <x v="0"/>
    <x v="1"/>
    <x v="18"/>
    <x v="25"/>
    <x v="34"/>
    <x v="1"/>
    <x v="27"/>
    <x v="44"/>
  </r>
  <r>
    <x v="200"/>
    <x v="8"/>
    <n v="1"/>
    <x v="0"/>
    <x v="15"/>
    <x v="0"/>
    <x v="1"/>
    <x v="0"/>
    <x v="1"/>
    <x v="13"/>
    <x v="23"/>
    <x v="16"/>
    <x v="2"/>
    <x v="99"/>
    <x v="100"/>
  </r>
  <r>
    <x v="201"/>
    <x v="8"/>
    <n v="1"/>
    <x v="0"/>
    <x v="16"/>
    <x v="0"/>
    <x v="1"/>
    <x v="0"/>
    <x v="2"/>
    <x v="17"/>
    <x v="46"/>
    <x v="15"/>
    <x v="23"/>
    <x v="55"/>
    <x v="101"/>
  </r>
  <r>
    <x v="202"/>
    <x v="8"/>
    <n v="1"/>
    <x v="0"/>
    <x v="17"/>
    <x v="0"/>
    <x v="1"/>
    <x v="0"/>
    <x v="15"/>
    <x v="20"/>
    <x v="38"/>
    <x v="18"/>
    <x v="0"/>
    <x v="79"/>
    <x v="69"/>
  </r>
  <r>
    <x v="203"/>
    <x v="8"/>
    <n v="1"/>
    <x v="0"/>
    <x v="18"/>
    <x v="0"/>
    <x v="1"/>
    <x v="0"/>
    <x v="13"/>
    <x v="14"/>
    <x v="22"/>
    <x v="14"/>
    <x v="17"/>
    <x v="100"/>
    <x v="61"/>
  </r>
  <r>
    <x v="204"/>
    <x v="8"/>
    <n v="1"/>
    <x v="0"/>
    <x v="19"/>
    <x v="0"/>
    <x v="1"/>
    <x v="0"/>
    <x v="13"/>
    <x v="14"/>
    <x v="21"/>
    <x v="14"/>
    <x v="5"/>
    <x v="71"/>
    <x v="102"/>
  </r>
  <r>
    <x v="205"/>
    <x v="8"/>
    <n v="1"/>
    <x v="0"/>
    <x v="20"/>
    <x v="0"/>
    <x v="1"/>
    <x v="0"/>
    <x v="14"/>
    <x v="16"/>
    <x v="15"/>
    <x v="7"/>
    <x v="3"/>
    <x v="101"/>
    <x v="103"/>
  </r>
  <r>
    <x v="206"/>
    <x v="8"/>
    <n v="1"/>
    <x v="0"/>
    <x v="21"/>
    <x v="0"/>
    <x v="1"/>
    <x v="0"/>
    <x v="14"/>
    <x v="15"/>
    <x v="15"/>
    <x v="17"/>
    <x v="5"/>
    <x v="23"/>
    <x v="25"/>
  </r>
  <r>
    <x v="207"/>
    <x v="8"/>
    <n v="1"/>
    <x v="0"/>
    <x v="22"/>
    <x v="0"/>
    <x v="1"/>
    <x v="0"/>
    <x v="14"/>
    <x v="16"/>
    <x v="15"/>
    <x v="9"/>
    <x v="2"/>
    <x v="3"/>
    <x v="93"/>
  </r>
  <r>
    <x v="208"/>
    <x v="8"/>
    <n v="1"/>
    <x v="0"/>
    <x v="23"/>
    <x v="0"/>
    <x v="1"/>
    <x v="0"/>
    <x v="16"/>
    <x v="14"/>
    <x v="20"/>
    <x v="10"/>
    <x v="3"/>
    <x v="8"/>
    <x v="24"/>
  </r>
  <r>
    <x v="209"/>
    <x v="9"/>
    <n v="1"/>
    <x v="0"/>
    <x v="0"/>
    <x v="0"/>
    <x v="2"/>
    <x v="0"/>
    <x v="16"/>
    <x v="16"/>
    <x v="20"/>
    <x v="8"/>
    <x v="4"/>
    <x v="35"/>
    <x v="36"/>
  </r>
  <r>
    <x v="210"/>
    <x v="9"/>
    <n v="1"/>
    <x v="0"/>
    <x v="1"/>
    <x v="0"/>
    <x v="2"/>
    <x v="0"/>
    <x v="16"/>
    <x v="16"/>
    <x v="20"/>
    <x v="8"/>
    <x v="5"/>
    <x v="5"/>
    <x v="4"/>
  </r>
  <r>
    <x v="211"/>
    <x v="9"/>
    <n v="1"/>
    <x v="0"/>
    <x v="2"/>
    <x v="0"/>
    <x v="2"/>
    <x v="0"/>
    <x v="16"/>
    <x v="16"/>
    <x v="20"/>
    <x v="11"/>
    <x v="3"/>
    <x v="35"/>
    <x v="6"/>
  </r>
  <r>
    <x v="212"/>
    <x v="9"/>
    <n v="1"/>
    <x v="0"/>
    <x v="3"/>
    <x v="0"/>
    <x v="2"/>
    <x v="0"/>
    <x v="16"/>
    <x v="16"/>
    <x v="20"/>
    <x v="11"/>
    <x v="3"/>
    <x v="4"/>
    <x v="4"/>
  </r>
  <r>
    <x v="213"/>
    <x v="9"/>
    <n v="1"/>
    <x v="0"/>
    <x v="4"/>
    <x v="0"/>
    <x v="2"/>
    <x v="0"/>
    <x v="18"/>
    <x v="16"/>
    <x v="47"/>
    <x v="12"/>
    <x v="5"/>
    <x v="6"/>
    <x v="6"/>
  </r>
  <r>
    <x v="214"/>
    <x v="9"/>
    <n v="1"/>
    <x v="0"/>
    <x v="5"/>
    <x v="0"/>
    <x v="2"/>
    <x v="0"/>
    <x v="18"/>
    <x v="15"/>
    <x v="47"/>
    <x v="7"/>
    <x v="3"/>
    <x v="35"/>
    <x v="6"/>
  </r>
  <r>
    <x v="215"/>
    <x v="9"/>
    <n v="1"/>
    <x v="0"/>
    <x v="6"/>
    <x v="0"/>
    <x v="2"/>
    <x v="0"/>
    <x v="16"/>
    <x v="16"/>
    <x v="20"/>
    <x v="8"/>
    <x v="3"/>
    <x v="17"/>
    <x v="35"/>
  </r>
  <r>
    <x v="216"/>
    <x v="9"/>
    <n v="1"/>
    <x v="0"/>
    <x v="7"/>
    <x v="0"/>
    <x v="2"/>
    <x v="0"/>
    <x v="16"/>
    <x v="16"/>
    <x v="20"/>
    <x v="11"/>
    <x v="4"/>
    <x v="102"/>
    <x v="43"/>
  </r>
  <r>
    <x v="217"/>
    <x v="9"/>
    <n v="1"/>
    <x v="0"/>
    <x v="8"/>
    <x v="0"/>
    <x v="2"/>
    <x v="1"/>
    <x v="16"/>
    <x v="16"/>
    <x v="20"/>
    <x v="8"/>
    <x v="17"/>
    <x v="103"/>
    <x v="104"/>
  </r>
  <r>
    <x v="218"/>
    <x v="9"/>
    <n v="1"/>
    <x v="0"/>
    <x v="9"/>
    <x v="0"/>
    <x v="2"/>
    <x v="1"/>
    <x v="14"/>
    <x v="16"/>
    <x v="20"/>
    <x v="7"/>
    <x v="4"/>
    <x v="50"/>
    <x v="12"/>
  </r>
  <r>
    <x v="219"/>
    <x v="9"/>
    <n v="1"/>
    <x v="0"/>
    <x v="10"/>
    <x v="0"/>
    <x v="2"/>
    <x v="1"/>
    <x v="14"/>
    <x v="16"/>
    <x v="20"/>
    <x v="9"/>
    <x v="3"/>
    <x v="17"/>
    <x v="35"/>
  </r>
  <r>
    <x v="220"/>
    <x v="9"/>
    <n v="1"/>
    <x v="0"/>
    <x v="11"/>
    <x v="0"/>
    <x v="2"/>
    <x v="1"/>
    <x v="13"/>
    <x v="14"/>
    <x v="19"/>
    <x v="8"/>
    <x v="4"/>
    <x v="95"/>
    <x v="33"/>
  </r>
  <r>
    <x v="221"/>
    <x v="9"/>
    <n v="1"/>
    <x v="0"/>
    <x v="12"/>
    <x v="0"/>
    <x v="2"/>
    <x v="1"/>
    <x v="2"/>
    <x v="18"/>
    <x v="22"/>
    <x v="8"/>
    <x v="2"/>
    <x v="12"/>
    <x v="46"/>
  </r>
  <r>
    <x v="222"/>
    <x v="9"/>
    <n v="1"/>
    <x v="0"/>
    <x v="13"/>
    <x v="0"/>
    <x v="2"/>
    <x v="1"/>
    <x v="2"/>
    <x v="18"/>
    <x v="22"/>
    <x v="8"/>
    <x v="17"/>
    <x v="54"/>
    <x v="60"/>
  </r>
  <r>
    <x v="223"/>
    <x v="9"/>
    <n v="1"/>
    <x v="0"/>
    <x v="14"/>
    <x v="0"/>
    <x v="2"/>
    <x v="1"/>
    <x v="2"/>
    <x v="13"/>
    <x v="22"/>
    <x v="11"/>
    <x v="3"/>
    <x v="12"/>
    <x v="105"/>
  </r>
  <r>
    <x v="224"/>
    <x v="9"/>
    <n v="1"/>
    <x v="0"/>
    <x v="15"/>
    <x v="0"/>
    <x v="2"/>
    <x v="1"/>
    <x v="2"/>
    <x v="13"/>
    <x v="22"/>
    <x v="11"/>
    <x v="4"/>
    <x v="30"/>
    <x v="79"/>
  </r>
  <r>
    <x v="225"/>
    <x v="9"/>
    <n v="1"/>
    <x v="0"/>
    <x v="16"/>
    <x v="0"/>
    <x v="2"/>
    <x v="0"/>
    <x v="2"/>
    <x v="12"/>
    <x v="22"/>
    <x v="12"/>
    <x v="17"/>
    <x v="14"/>
    <x v="30"/>
  </r>
  <r>
    <x v="226"/>
    <x v="9"/>
    <n v="1"/>
    <x v="0"/>
    <x v="17"/>
    <x v="0"/>
    <x v="2"/>
    <x v="0"/>
    <x v="2"/>
    <x v="11"/>
    <x v="22"/>
    <x v="19"/>
    <x v="17"/>
    <x v="104"/>
    <x v="106"/>
  </r>
  <r>
    <x v="227"/>
    <x v="9"/>
    <n v="1"/>
    <x v="0"/>
    <x v="18"/>
    <x v="0"/>
    <x v="2"/>
    <x v="0"/>
    <x v="2"/>
    <x v="13"/>
    <x v="22"/>
    <x v="11"/>
    <x v="5"/>
    <x v="105"/>
    <x v="107"/>
  </r>
  <r>
    <x v="228"/>
    <x v="9"/>
    <n v="1"/>
    <x v="0"/>
    <x v="19"/>
    <x v="0"/>
    <x v="2"/>
    <x v="0"/>
    <x v="13"/>
    <x v="17"/>
    <x v="19"/>
    <x v="13"/>
    <x v="0"/>
    <x v="50"/>
    <x v="76"/>
  </r>
  <r>
    <x v="229"/>
    <x v="9"/>
    <n v="1"/>
    <x v="0"/>
    <x v="20"/>
    <x v="0"/>
    <x v="2"/>
    <x v="0"/>
    <x v="13"/>
    <x v="17"/>
    <x v="20"/>
    <x v="13"/>
    <x v="5"/>
    <x v="26"/>
    <x v="30"/>
  </r>
  <r>
    <x v="230"/>
    <x v="9"/>
    <n v="1"/>
    <x v="0"/>
    <x v="21"/>
    <x v="0"/>
    <x v="2"/>
    <x v="0"/>
    <x v="14"/>
    <x v="14"/>
    <x v="29"/>
    <x v="10"/>
    <x v="5"/>
    <x v="53"/>
    <x v="103"/>
  </r>
  <r>
    <x v="231"/>
    <x v="9"/>
    <n v="1"/>
    <x v="0"/>
    <x v="22"/>
    <x v="0"/>
    <x v="2"/>
    <x v="0"/>
    <x v="14"/>
    <x v="20"/>
    <x v="29"/>
    <x v="13"/>
    <x v="4"/>
    <x v="97"/>
    <x v="108"/>
  </r>
  <r>
    <x v="232"/>
    <x v="9"/>
    <n v="1"/>
    <x v="0"/>
    <x v="23"/>
    <x v="0"/>
    <x v="2"/>
    <x v="0"/>
    <x v="14"/>
    <x v="20"/>
    <x v="29"/>
    <x v="13"/>
    <x v="3"/>
    <x v="72"/>
    <x v="109"/>
  </r>
  <r>
    <x v="233"/>
    <x v="10"/>
    <n v="1"/>
    <x v="0"/>
    <x v="0"/>
    <x v="0"/>
    <x v="3"/>
    <x v="0"/>
    <x v="14"/>
    <x v="17"/>
    <x v="29"/>
    <x v="19"/>
    <x v="4"/>
    <x v="3"/>
    <x v="47"/>
  </r>
  <r>
    <x v="234"/>
    <x v="10"/>
    <n v="1"/>
    <x v="0"/>
    <x v="1"/>
    <x v="0"/>
    <x v="3"/>
    <x v="0"/>
    <x v="14"/>
    <x v="20"/>
    <x v="29"/>
    <x v="13"/>
    <x v="3"/>
    <x v="35"/>
    <x v="6"/>
  </r>
  <r>
    <x v="235"/>
    <x v="10"/>
    <n v="1"/>
    <x v="0"/>
    <x v="2"/>
    <x v="0"/>
    <x v="3"/>
    <x v="1"/>
    <x v="13"/>
    <x v="20"/>
    <x v="28"/>
    <x v="10"/>
    <x v="3"/>
    <x v="35"/>
    <x v="6"/>
  </r>
  <r>
    <x v="236"/>
    <x v="10"/>
    <n v="1"/>
    <x v="0"/>
    <x v="5"/>
    <x v="0"/>
    <x v="3"/>
    <x v="1"/>
    <x v="13"/>
    <x v="18"/>
    <x v="28"/>
    <x v="12"/>
    <x v="3"/>
    <x v="8"/>
    <x v="24"/>
  </r>
  <r>
    <x v="237"/>
    <x v="10"/>
    <n v="1"/>
    <x v="0"/>
    <x v="6"/>
    <x v="0"/>
    <x v="3"/>
    <x v="1"/>
    <x v="13"/>
    <x v="18"/>
    <x v="28"/>
    <x v="12"/>
    <x v="3"/>
    <x v="2"/>
    <x v="110"/>
  </r>
  <r>
    <x v="238"/>
    <x v="10"/>
    <n v="1"/>
    <x v="0"/>
    <x v="7"/>
    <x v="0"/>
    <x v="3"/>
    <x v="1"/>
    <x v="13"/>
    <x v="11"/>
    <x v="28"/>
    <x v="36"/>
    <x v="4"/>
    <x v="106"/>
    <x v="111"/>
  </r>
  <r>
    <x v="239"/>
    <x v="10"/>
    <n v="1"/>
    <x v="0"/>
    <x v="8"/>
    <x v="0"/>
    <x v="3"/>
    <x v="1"/>
    <x v="15"/>
    <x v="12"/>
    <x v="33"/>
    <x v="3"/>
    <x v="0"/>
    <x v="107"/>
    <x v="112"/>
  </r>
  <r>
    <x v="240"/>
    <x v="10"/>
    <n v="1"/>
    <x v="0"/>
    <x v="9"/>
    <x v="0"/>
    <x v="3"/>
    <x v="1"/>
    <x v="15"/>
    <x v="13"/>
    <x v="33"/>
    <x v="13"/>
    <x v="0"/>
    <x v="69"/>
    <x v="113"/>
  </r>
  <r>
    <x v="241"/>
    <x v="10"/>
    <n v="1"/>
    <x v="0"/>
    <x v="10"/>
    <x v="0"/>
    <x v="3"/>
    <x v="1"/>
    <x v="2"/>
    <x v="12"/>
    <x v="33"/>
    <x v="13"/>
    <x v="0"/>
    <x v="82"/>
    <x v="60"/>
  </r>
  <r>
    <x v="242"/>
    <x v="10"/>
    <n v="1"/>
    <x v="0"/>
    <x v="11"/>
    <x v="0"/>
    <x v="3"/>
    <x v="1"/>
    <x v="2"/>
    <x v="12"/>
    <x v="19"/>
    <x v="12"/>
    <x v="17"/>
    <x v="17"/>
    <x v="17"/>
  </r>
  <r>
    <x v="243"/>
    <x v="10"/>
    <n v="1"/>
    <x v="0"/>
    <x v="12"/>
    <x v="0"/>
    <x v="3"/>
    <x v="1"/>
    <x v="2"/>
    <x v="11"/>
    <x v="33"/>
    <x v="19"/>
    <x v="4"/>
    <x v="11"/>
    <x v="52"/>
  </r>
  <r>
    <x v="244"/>
    <x v="10"/>
    <n v="1"/>
    <x v="0"/>
    <x v="13"/>
    <x v="0"/>
    <x v="3"/>
    <x v="1"/>
    <x v="2"/>
    <x v="11"/>
    <x v="29"/>
    <x v="3"/>
    <x v="15"/>
    <x v="24"/>
    <x v="46"/>
  </r>
  <r>
    <x v="245"/>
    <x v="10"/>
    <n v="1"/>
    <x v="0"/>
    <x v="14"/>
    <x v="0"/>
    <x v="3"/>
    <x v="1"/>
    <x v="2"/>
    <x v="11"/>
    <x v="29"/>
    <x v="3"/>
    <x v="0"/>
    <x v="91"/>
    <x v="55"/>
  </r>
  <r>
    <x v="246"/>
    <x v="10"/>
    <n v="1"/>
    <x v="0"/>
    <x v="15"/>
    <x v="0"/>
    <x v="3"/>
    <x v="1"/>
    <x v="13"/>
    <x v="13"/>
    <x v="1"/>
    <x v="3"/>
    <x v="4"/>
    <x v="108"/>
    <x v="105"/>
  </r>
  <r>
    <x v="247"/>
    <x v="10"/>
    <n v="1"/>
    <x v="0"/>
    <x v="16"/>
    <x v="0"/>
    <x v="3"/>
    <x v="1"/>
    <x v="13"/>
    <x v="20"/>
    <x v="3"/>
    <x v="11"/>
    <x v="17"/>
    <x v="109"/>
    <x v="31"/>
  </r>
  <r>
    <x v="248"/>
    <x v="10"/>
    <n v="1"/>
    <x v="0"/>
    <x v="17"/>
    <x v="0"/>
    <x v="3"/>
    <x v="1"/>
    <x v="13"/>
    <x v="20"/>
    <x v="3"/>
    <x v="11"/>
    <x v="15"/>
    <x v="110"/>
    <x v="114"/>
  </r>
  <r>
    <x v="249"/>
    <x v="10"/>
    <n v="1"/>
    <x v="0"/>
    <x v="18"/>
    <x v="0"/>
    <x v="3"/>
    <x v="2"/>
    <x v="13"/>
    <x v="18"/>
    <x v="43"/>
    <x v="19"/>
    <x v="5"/>
    <x v="111"/>
    <x v="76"/>
  </r>
  <r>
    <x v="250"/>
    <x v="10"/>
    <n v="1"/>
    <x v="0"/>
    <x v="19"/>
    <x v="0"/>
    <x v="3"/>
    <x v="2"/>
    <x v="13"/>
    <x v="11"/>
    <x v="43"/>
    <x v="37"/>
    <x v="3"/>
    <x v="82"/>
    <x v="41"/>
  </r>
  <r>
    <x v="251"/>
    <x v="10"/>
    <n v="1"/>
    <x v="0"/>
    <x v="20"/>
    <x v="0"/>
    <x v="3"/>
    <x v="2"/>
    <x v="13"/>
    <x v="20"/>
    <x v="43"/>
    <x v="10"/>
    <x v="3"/>
    <x v="1"/>
    <x v="2"/>
  </r>
  <r>
    <x v="252"/>
    <x v="10"/>
    <n v="1"/>
    <x v="0"/>
    <x v="21"/>
    <x v="0"/>
    <x v="3"/>
    <x v="2"/>
    <x v="13"/>
    <x v="13"/>
    <x v="3"/>
    <x v="3"/>
    <x v="3"/>
    <x v="32"/>
    <x v="25"/>
  </r>
  <r>
    <x v="253"/>
    <x v="10"/>
    <n v="1"/>
    <x v="0"/>
    <x v="22"/>
    <x v="0"/>
    <x v="3"/>
    <x v="2"/>
    <x v="13"/>
    <x v="18"/>
    <x v="43"/>
    <x v="19"/>
    <x v="5"/>
    <x v="95"/>
    <x v="115"/>
  </r>
  <r>
    <x v="254"/>
    <x v="10"/>
    <n v="1"/>
    <x v="0"/>
    <x v="23"/>
    <x v="0"/>
    <x v="3"/>
    <x v="2"/>
    <x v="13"/>
    <x v="13"/>
    <x v="43"/>
    <x v="3"/>
    <x v="5"/>
    <x v="72"/>
    <x v="75"/>
  </r>
  <r>
    <x v="255"/>
    <x v="11"/>
    <n v="1"/>
    <x v="0"/>
    <x v="0"/>
    <x v="0"/>
    <x v="4"/>
    <x v="1"/>
    <x v="13"/>
    <x v="13"/>
    <x v="3"/>
    <x v="3"/>
    <x v="3"/>
    <x v="7"/>
    <x v="85"/>
  </r>
  <r>
    <x v="256"/>
    <x v="11"/>
    <n v="1"/>
    <x v="0"/>
    <x v="1"/>
    <x v="0"/>
    <x v="4"/>
    <x v="1"/>
    <x v="13"/>
    <x v="18"/>
    <x v="3"/>
    <x v="19"/>
    <x v="3"/>
    <x v="8"/>
    <x v="24"/>
  </r>
  <r>
    <x v="257"/>
    <x v="11"/>
    <n v="1"/>
    <x v="0"/>
    <x v="2"/>
    <x v="0"/>
    <x v="4"/>
    <x v="0"/>
    <x v="14"/>
    <x v="20"/>
    <x v="3"/>
    <x v="12"/>
    <x v="3"/>
    <x v="4"/>
    <x v="4"/>
  </r>
  <r>
    <x v="258"/>
    <x v="11"/>
    <n v="1"/>
    <x v="0"/>
    <x v="5"/>
    <x v="0"/>
    <x v="4"/>
    <x v="0"/>
    <x v="14"/>
    <x v="20"/>
    <x v="3"/>
    <x v="13"/>
    <x v="3"/>
    <x v="34"/>
    <x v="36"/>
  </r>
  <r>
    <x v="259"/>
    <x v="11"/>
    <n v="1"/>
    <x v="0"/>
    <x v="6"/>
    <x v="0"/>
    <x v="4"/>
    <x v="0"/>
    <x v="16"/>
    <x v="20"/>
    <x v="43"/>
    <x v="12"/>
    <x v="3"/>
    <x v="20"/>
    <x v="0"/>
  </r>
  <r>
    <x v="260"/>
    <x v="11"/>
    <n v="1"/>
    <x v="0"/>
    <x v="7"/>
    <x v="0"/>
    <x v="4"/>
    <x v="0"/>
    <x v="14"/>
    <x v="20"/>
    <x v="27"/>
    <x v="12"/>
    <x v="3"/>
    <x v="25"/>
    <x v="60"/>
  </r>
  <r>
    <x v="261"/>
    <x v="11"/>
    <n v="1"/>
    <x v="0"/>
    <x v="8"/>
    <x v="0"/>
    <x v="4"/>
    <x v="0"/>
    <x v="13"/>
    <x v="17"/>
    <x v="29"/>
    <x v="13"/>
    <x v="0"/>
    <x v="85"/>
    <x v="116"/>
  </r>
  <r>
    <x v="262"/>
    <x v="11"/>
    <n v="1"/>
    <x v="0"/>
    <x v="9"/>
    <x v="0"/>
    <x v="4"/>
    <x v="0"/>
    <x v="13"/>
    <x v="14"/>
    <x v="29"/>
    <x v="14"/>
    <x v="0"/>
    <x v="78"/>
    <x v="117"/>
  </r>
  <r>
    <x v="263"/>
    <x v="11"/>
    <n v="1"/>
    <x v="0"/>
    <x v="10"/>
    <x v="0"/>
    <x v="4"/>
    <x v="0"/>
    <x v="15"/>
    <x v="18"/>
    <x v="28"/>
    <x v="11"/>
    <x v="3"/>
    <x v="87"/>
    <x v="21"/>
  </r>
  <r>
    <x v="264"/>
    <x v="11"/>
    <n v="1"/>
    <x v="0"/>
    <x v="11"/>
    <x v="0"/>
    <x v="4"/>
    <x v="0"/>
    <x v="2"/>
    <x v="18"/>
    <x v="33"/>
    <x v="18"/>
    <x v="0"/>
    <x v="1"/>
    <x v="17"/>
  </r>
  <r>
    <x v="265"/>
    <x v="11"/>
    <n v="1"/>
    <x v="0"/>
    <x v="12"/>
    <x v="0"/>
    <x v="4"/>
    <x v="0"/>
    <x v="2"/>
    <x v="20"/>
    <x v="19"/>
    <x v="38"/>
    <x v="0"/>
    <x v="15"/>
    <x v="97"/>
  </r>
  <r>
    <x v="266"/>
    <x v="11"/>
    <n v="1"/>
    <x v="0"/>
    <x v="13"/>
    <x v="0"/>
    <x v="4"/>
    <x v="0"/>
    <x v="1"/>
    <x v="13"/>
    <x v="18"/>
    <x v="16"/>
    <x v="3"/>
    <x v="47"/>
    <x v="99"/>
  </r>
  <r>
    <x v="267"/>
    <x v="11"/>
    <n v="1"/>
    <x v="0"/>
    <x v="14"/>
    <x v="0"/>
    <x v="4"/>
    <x v="0"/>
    <x v="2"/>
    <x v="18"/>
    <x v="19"/>
    <x v="14"/>
    <x v="3"/>
    <x v="100"/>
    <x v="40"/>
  </r>
  <r>
    <x v="268"/>
    <x v="11"/>
    <n v="1"/>
    <x v="0"/>
    <x v="15"/>
    <x v="0"/>
    <x v="4"/>
    <x v="0"/>
    <x v="2"/>
    <x v="17"/>
    <x v="19"/>
    <x v="17"/>
    <x v="5"/>
    <x v="41"/>
    <x v="99"/>
  </r>
  <r>
    <x v="269"/>
    <x v="11"/>
    <n v="1"/>
    <x v="0"/>
    <x v="16"/>
    <x v="0"/>
    <x v="4"/>
    <x v="0"/>
    <x v="1"/>
    <x v="13"/>
    <x v="18"/>
    <x v="14"/>
    <x v="2"/>
    <x v="36"/>
    <x v="118"/>
  </r>
  <r>
    <x v="270"/>
    <x v="11"/>
    <n v="1"/>
    <x v="0"/>
    <x v="17"/>
    <x v="0"/>
    <x v="4"/>
    <x v="0"/>
    <x v="2"/>
    <x v="18"/>
    <x v="19"/>
    <x v="16"/>
    <x v="3"/>
    <x v="112"/>
    <x v="119"/>
  </r>
  <r>
    <x v="271"/>
    <x v="11"/>
    <n v="1"/>
    <x v="0"/>
    <x v="18"/>
    <x v="0"/>
    <x v="4"/>
    <x v="0"/>
    <x v="2"/>
    <x v="20"/>
    <x v="19"/>
    <x v="35"/>
    <x v="4"/>
    <x v="113"/>
    <x v="120"/>
  </r>
  <r>
    <x v="272"/>
    <x v="11"/>
    <n v="1"/>
    <x v="0"/>
    <x v="19"/>
    <x v="0"/>
    <x v="4"/>
    <x v="0"/>
    <x v="15"/>
    <x v="20"/>
    <x v="19"/>
    <x v="17"/>
    <x v="5"/>
    <x v="70"/>
    <x v="56"/>
  </r>
  <r>
    <x v="273"/>
    <x v="11"/>
    <n v="1"/>
    <x v="0"/>
    <x v="20"/>
    <x v="0"/>
    <x v="4"/>
    <x v="0"/>
    <x v="13"/>
    <x v="14"/>
    <x v="20"/>
    <x v="14"/>
    <x v="4"/>
    <x v="25"/>
    <x v="10"/>
  </r>
  <r>
    <x v="274"/>
    <x v="11"/>
    <n v="1"/>
    <x v="0"/>
    <x v="21"/>
    <x v="0"/>
    <x v="4"/>
    <x v="0"/>
    <x v="13"/>
    <x v="14"/>
    <x v="28"/>
    <x v="14"/>
    <x v="3"/>
    <x v="77"/>
    <x v="52"/>
  </r>
  <r>
    <x v="275"/>
    <x v="11"/>
    <n v="1"/>
    <x v="0"/>
    <x v="22"/>
    <x v="0"/>
    <x v="4"/>
    <x v="0"/>
    <x v="13"/>
    <x v="16"/>
    <x v="28"/>
    <x v="15"/>
    <x v="5"/>
    <x v="1"/>
    <x v="63"/>
  </r>
  <r>
    <x v="276"/>
    <x v="11"/>
    <n v="1"/>
    <x v="0"/>
    <x v="23"/>
    <x v="0"/>
    <x v="4"/>
    <x v="0"/>
    <x v="14"/>
    <x v="15"/>
    <x v="29"/>
    <x v="17"/>
    <x v="5"/>
    <x v="23"/>
    <x v="25"/>
  </r>
  <r>
    <x v="277"/>
    <x v="12"/>
    <n v="1"/>
    <x v="0"/>
    <x v="0"/>
    <x v="0"/>
    <x v="5"/>
    <x v="0"/>
    <x v="14"/>
    <x v="16"/>
    <x v="29"/>
    <x v="8"/>
    <x v="5"/>
    <x v="8"/>
    <x v="85"/>
  </r>
  <r>
    <x v="278"/>
    <x v="12"/>
    <n v="1"/>
    <x v="0"/>
    <x v="1"/>
    <x v="0"/>
    <x v="5"/>
    <x v="0"/>
    <x v="14"/>
    <x v="16"/>
    <x v="20"/>
    <x v="8"/>
    <x v="3"/>
    <x v="6"/>
    <x v="5"/>
  </r>
  <r>
    <x v="279"/>
    <x v="12"/>
    <n v="1"/>
    <x v="0"/>
    <x v="2"/>
    <x v="0"/>
    <x v="5"/>
    <x v="0"/>
    <x v="14"/>
    <x v="16"/>
    <x v="20"/>
    <x v="16"/>
    <x v="3"/>
    <x v="6"/>
    <x v="5"/>
  </r>
  <r>
    <x v="280"/>
    <x v="12"/>
    <n v="1"/>
    <x v="0"/>
    <x v="3"/>
    <x v="0"/>
    <x v="5"/>
    <x v="0"/>
    <x v="14"/>
    <x v="16"/>
    <x v="20"/>
    <x v="14"/>
    <x v="3"/>
    <x v="35"/>
    <x v="6"/>
  </r>
  <r>
    <x v="281"/>
    <x v="12"/>
    <n v="1"/>
    <x v="0"/>
    <x v="4"/>
    <x v="0"/>
    <x v="5"/>
    <x v="0"/>
    <x v="14"/>
    <x v="16"/>
    <x v="20"/>
    <x v="7"/>
    <x v="3"/>
    <x v="22"/>
    <x v="48"/>
  </r>
  <r>
    <x v="282"/>
    <x v="12"/>
    <n v="1"/>
    <x v="0"/>
    <x v="5"/>
    <x v="0"/>
    <x v="5"/>
    <x v="0"/>
    <x v="14"/>
    <x v="16"/>
    <x v="20"/>
    <x v="9"/>
    <x v="3"/>
    <x v="35"/>
    <x v="6"/>
  </r>
  <r>
    <x v="283"/>
    <x v="12"/>
    <n v="1"/>
    <x v="0"/>
    <x v="6"/>
    <x v="0"/>
    <x v="5"/>
    <x v="0"/>
    <x v="16"/>
    <x v="20"/>
    <x v="47"/>
    <x v="12"/>
    <x v="3"/>
    <x v="95"/>
    <x v="20"/>
  </r>
  <r>
    <x v="284"/>
    <x v="12"/>
    <n v="1"/>
    <x v="0"/>
    <x v="7"/>
    <x v="0"/>
    <x v="5"/>
    <x v="0"/>
    <x v="16"/>
    <x v="20"/>
    <x v="47"/>
    <x v="12"/>
    <x v="3"/>
    <x v="109"/>
    <x v="44"/>
  </r>
  <r>
    <x v="285"/>
    <x v="12"/>
    <n v="1"/>
    <x v="0"/>
    <x v="8"/>
    <x v="0"/>
    <x v="5"/>
    <x v="0"/>
    <x v="14"/>
    <x v="14"/>
    <x v="20"/>
    <x v="10"/>
    <x v="2"/>
    <x v="114"/>
    <x v="121"/>
  </r>
  <r>
    <x v="286"/>
    <x v="12"/>
    <n v="1"/>
    <x v="0"/>
    <x v="9"/>
    <x v="0"/>
    <x v="5"/>
    <x v="0"/>
    <x v="14"/>
    <x v="16"/>
    <x v="20"/>
    <x v="14"/>
    <x v="4"/>
    <x v="115"/>
    <x v="119"/>
  </r>
  <r>
    <x v="287"/>
    <x v="12"/>
    <n v="1"/>
    <x v="0"/>
    <x v="10"/>
    <x v="0"/>
    <x v="5"/>
    <x v="1"/>
    <x v="13"/>
    <x v="14"/>
    <x v="20"/>
    <x v="16"/>
    <x v="4"/>
    <x v="49"/>
    <x v="103"/>
  </r>
  <r>
    <x v="288"/>
    <x v="12"/>
    <n v="1"/>
    <x v="0"/>
    <x v="11"/>
    <x v="0"/>
    <x v="5"/>
    <x v="1"/>
    <x v="2"/>
    <x v="17"/>
    <x v="18"/>
    <x v="15"/>
    <x v="17"/>
    <x v="39"/>
    <x v="18"/>
  </r>
  <r>
    <x v="289"/>
    <x v="12"/>
    <n v="1"/>
    <x v="0"/>
    <x v="12"/>
    <x v="0"/>
    <x v="5"/>
    <x v="0"/>
    <x v="2"/>
    <x v="17"/>
    <x v="18"/>
    <x v="17"/>
    <x v="0"/>
    <x v="47"/>
    <x v="46"/>
  </r>
  <r>
    <x v="290"/>
    <x v="12"/>
    <n v="1"/>
    <x v="0"/>
    <x v="13"/>
    <x v="0"/>
    <x v="5"/>
    <x v="0"/>
    <x v="1"/>
    <x v="13"/>
    <x v="48"/>
    <x v="15"/>
    <x v="4"/>
    <x v="38"/>
    <x v="56"/>
  </r>
  <r>
    <x v="291"/>
    <x v="12"/>
    <n v="1"/>
    <x v="0"/>
    <x v="14"/>
    <x v="0"/>
    <x v="5"/>
    <x v="0"/>
    <x v="1"/>
    <x v="13"/>
    <x v="48"/>
    <x v="18"/>
    <x v="0"/>
    <x v="87"/>
    <x v="51"/>
  </r>
  <r>
    <x v="292"/>
    <x v="12"/>
    <n v="1"/>
    <x v="0"/>
    <x v="15"/>
    <x v="0"/>
    <x v="5"/>
    <x v="0"/>
    <x v="0"/>
    <x v="12"/>
    <x v="41"/>
    <x v="9"/>
    <x v="2"/>
    <x v="11"/>
    <x v="122"/>
  </r>
  <r>
    <x v="293"/>
    <x v="12"/>
    <n v="1"/>
    <x v="0"/>
    <x v="16"/>
    <x v="0"/>
    <x v="5"/>
    <x v="0"/>
    <x v="0"/>
    <x v="12"/>
    <x v="41"/>
    <x v="16"/>
    <x v="4"/>
    <x v="83"/>
    <x v="53"/>
  </r>
  <r>
    <x v="294"/>
    <x v="12"/>
    <n v="1"/>
    <x v="0"/>
    <x v="17"/>
    <x v="0"/>
    <x v="5"/>
    <x v="0"/>
    <x v="2"/>
    <x v="18"/>
    <x v="22"/>
    <x v="8"/>
    <x v="17"/>
    <x v="81"/>
    <x v="123"/>
  </r>
  <r>
    <x v="295"/>
    <x v="12"/>
    <n v="1"/>
    <x v="0"/>
    <x v="18"/>
    <x v="0"/>
    <x v="5"/>
    <x v="0"/>
    <x v="2"/>
    <x v="18"/>
    <x v="22"/>
    <x v="14"/>
    <x v="0"/>
    <x v="116"/>
    <x v="124"/>
  </r>
  <r>
    <x v="296"/>
    <x v="12"/>
    <n v="1"/>
    <x v="0"/>
    <x v="19"/>
    <x v="0"/>
    <x v="5"/>
    <x v="0"/>
    <x v="13"/>
    <x v="20"/>
    <x v="19"/>
    <x v="7"/>
    <x v="5"/>
    <x v="52"/>
    <x v="111"/>
  </r>
  <r>
    <x v="297"/>
    <x v="12"/>
    <n v="1"/>
    <x v="0"/>
    <x v="20"/>
    <x v="0"/>
    <x v="5"/>
    <x v="0"/>
    <x v="13"/>
    <x v="20"/>
    <x v="19"/>
    <x v="11"/>
    <x v="3"/>
    <x v="27"/>
    <x v="37"/>
  </r>
  <r>
    <x v="298"/>
    <x v="12"/>
    <n v="1"/>
    <x v="0"/>
    <x v="21"/>
    <x v="0"/>
    <x v="5"/>
    <x v="0"/>
    <x v="14"/>
    <x v="16"/>
    <x v="15"/>
    <x v="9"/>
    <x v="3"/>
    <x v="71"/>
    <x v="1"/>
  </r>
  <r>
    <x v="299"/>
    <x v="12"/>
    <n v="1"/>
    <x v="0"/>
    <x v="22"/>
    <x v="0"/>
    <x v="5"/>
    <x v="0"/>
    <x v="14"/>
    <x v="16"/>
    <x v="15"/>
    <x v="14"/>
    <x v="3"/>
    <x v="10"/>
    <x v="33"/>
  </r>
  <r>
    <x v="300"/>
    <x v="12"/>
    <n v="1"/>
    <x v="0"/>
    <x v="23"/>
    <x v="0"/>
    <x v="5"/>
    <x v="0"/>
    <x v="16"/>
    <x v="14"/>
    <x v="20"/>
    <x v="10"/>
    <x v="5"/>
    <x v="88"/>
    <x v="93"/>
  </r>
  <r>
    <x v="301"/>
    <x v="13"/>
    <n v="1"/>
    <x v="0"/>
    <x v="0"/>
    <x v="0"/>
    <x v="6"/>
    <x v="0"/>
    <x v="16"/>
    <x v="14"/>
    <x v="20"/>
    <x v="10"/>
    <x v="3"/>
    <x v="88"/>
    <x v="8"/>
  </r>
  <r>
    <x v="302"/>
    <x v="13"/>
    <n v="1"/>
    <x v="0"/>
    <x v="1"/>
    <x v="0"/>
    <x v="6"/>
    <x v="0"/>
    <x v="18"/>
    <x v="16"/>
    <x v="47"/>
    <x v="13"/>
    <x v="3"/>
    <x v="34"/>
    <x v="36"/>
  </r>
  <r>
    <x v="303"/>
    <x v="13"/>
    <n v="1"/>
    <x v="0"/>
    <x v="2"/>
    <x v="0"/>
    <x v="6"/>
    <x v="0"/>
    <x v="18"/>
    <x v="16"/>
    <x v="47"/>
    <x v="12"/>
    <x v="3"/>
    <x v="4"/>
    <x v="4"/>
  </r>
  <r>
    <x v="304"/>
    <x v="13"/>
    <n v="1"/>
    <x v="0"/>
    <x v="3"/>
    <x v="0"/>
    <x v="6"/>
    <x v="0"/>
    <x v="18"/>
    <x v="14"/>
    <x v="47"/>
    <x v="19"/>
    <x v="3"/>
    <x v="4"/>
    <x v="4"/>
  </r>
  <r>
    <x v="305"/>
    <x v="13"/>
    <n v="1"/>
    <x v="0"/>
    <x v="5"/>
    <x v="0"/>
    <x v="6"/>
    <x v="0"/>
    <x v="18"/>
    <x v="14"/>
    <x v="47"/>
    <x v="3"/>
    <x v="3"/>
    <x v="21"/>
    <x v="7"/>
  </r>
  <r>
    <x v="306"/>
    <x v="13"/>
    <n v="1"/>
    <x v="0"/>
    <x v="6"/>
    <x v="0"/>
    <x v="6"/>
    <x v="0"/>
    <x v="18"/>
    <x v="18"/>
    <x v="47"/>
    <x v="39"/>
    <x v="3"/>
    <x v="19"/>
    <x v="22"/>
  </r>
  <r>
    <x v="307"/>
    <x v="13"/>
    <n v="1"/>
    <x v="0"/>
    <x v="7"/>
    <x v="0"/>
    <x v="6"/>
    <x v="0"/>
    <x v="18"/>
    <x v="16"/>
    <x v="32"/>
    <x v="13"/>
    <x v="3"/>
    <x v="14"/>
    <x v="27"/>
  </r>
  <r>
    <x v="308"/>
    <x v="13"/>
    <n v="1"/>
    <x v="0"/>
    <x v="8"/>
    <x v="0"/>
    <x v="6"/>
    <x v="0"/>
    <x v="16"/>
    <x v="17"/>
    <x v="31"/>
    <x v="40"/>
    <x v="4"/>
    <x v="117"/>
    <x v="125"/>
  </r>
  <r>
    <x v="309"/>
    <x v="13"/>
    <n v="1"/>
    <x v="0"/>
    <x v="9"/>
    <x v="0"/>
    <x v="6"/>
    <x v="0"/>
    <x v="14"/>
    <x v="20"/>
    <x v="27"/>
    <x v="12"/>
    <x v="3"/>
    <x v="118"/>
    <x v="126"/>
  </r>
  <r>
    <x v="310"/>
    <x v="13"/>
    <n v="1"/>
    <x v="0"/>
    <x v="10"/>
    <x v="0"/>
    <x v="6"/>
    <x v="0"/>
    <x v="15"/>
    <x v="18"/>
    <x v="28"/>
    <x v="10"/>
    <x v="17"/>
    <x v="71"/>
    <x v="40"/>
  </r>
  <r>
    <x v="311"/>
    <x v="13"/>
    <n v="1"/>
    <x v="0"/>
    <x v="11"/>
    <x v="0"/>
    <x v="6"/>
    <x v="0"/>
    <x v="15"/>
    <x v="17"/>
    <x v="33"/>
    <x v="8"/>
    <x v="15"/>
    <x v="12"/>
    <x v="26"/>
  </r>
  <r>
    <x v="312"/>
    <x v="13"/>
    <n v="1"/>
    <x v="0"/>
    <x v="12"/>
    <x v="0"/>
    <x v="6"/>
    <x v="0"/>
    <x v="2"/>
    <x v="13"/>
    <x v="18"/>
    <x v="7"/>
    <x v="4"/>
    <x v="79"/>
    <x v="42"/>
  </r>
  <r>
    <x v="313"/>
    <x v="13"/>
    <n v="1"/>
    <x v="0"/>
    <x v="13"/>
    <x v="0"/>
    <x v="6"/>
    <x v="0"/>
    <x v="1"/>
    <x v="13"/>
    <x v="38"/>
    <x v="18"/>
    <x v="17"/>
    <x v="26"/>
    <x v="43"/>
  </r>
  <r>
    <x v="314"/>
    <x v="13"/>
    <n v="1"/>
    <x v="0"/>
    <x v="14"/>
    <x v="0"/>
    <x v="6"/>
    <x v="0"/>
    <x v="1"/>
    <x v="12"/>
    <x v="48"/>
    <x v="8"/>
    <x v="2"/>
    <x v="79"/>
    <x v="37"/>
  </r>
  <r>
    <x v="315"/>
    <x v="13"/>
    <n v="1"/>
    <x v="0"/>
    <x v="15"/>
    <x v="0"/>
    <x v="6"/>
    <x v="0"/>
    <x v="0"/>
    <x v="19"/>
    <x v="41"/>
    <x v="13"/>
    <x v="14"/>
    <x v="79"/>
    <x v="118"/>
  </r>
  <r>
    <x v="316"/>
    <x v="13"/>
    <n v="1"/>
    <x v="0"/>
    <x v="16"/>
    <x v="0"/>
    <x v="6"/>
    <x v="0"/>
    <x v="1"/>
    <x v="19"/>
    <x v="48"/>
    <x v="19"/>
    <x v="0"/>
    <x v="61"/>
    <x v="127"/>
  </r>
  <r>
    <x v="317"/>
    <x v="13"/>
    <n v="1"/>
    <x v="0"/>
    <x v="17"/>
    <x v="0"/>
    <x v="6"/>
    <x v="0"/>
    <x v="1"/>
    <x v="11"/>
    <x v="48"/>
    <x v="13"/>
    <x v="17"/>
    <x v="119"/>
    <x v="128"/>
  </r>
  <r>
    <x v="318"/>
    <x v="13"/>
    <n v="1"/>
    <x v="0"/>
    <x v="18"/>
    <x v="0"/>
    <x v="6"/>
    <x v="0"/>
    <x v="2"/>
    <x v="2"/>
    <x v="19"/>
    <x v="20"/>
    <x v="2"/>
    <x v="120"/>
    <x v="119"/>
  </r>
  <r>
    <x v="319"/>
    <x v="13"/>
    <n v="1"/>
    <x v="0"/>
    <x v="19"/>
    <x v="0"/>
    <x v="6"/>
    <x v="0"/>
    <x v="13"/>
    <x v="13"/>
    <x v="29"/>
    <x v="3"/>
    <x v="0"/>
    <x v="121"/>
    <x v="101"/>
  </r>
  <r>
    <x v="320"/>
    <x v="13"/>
    <n v="1"/>
    <x v="0"/>
    <x v="20"/>
    <x v="0"/>
    <x v="6"/>
    <x v="0"/>
    <x v="15"/>
    <x v="19"/>
    <x v="29"/>
    <x v="41"/>
    <x v="3"/>
    <x v="56"/>
    <x v="118"/>
  </r>
  <r>
    <x v="321"/>
    <x v="13"/>
    <n v="1"/>
    <x v="0"/>
    <x v="21"/>
    <x v="0"/>
    <x v="6"/>
    <x v="0"/>
    <x v="13"/>
    <x v="11"/>
    <x v="27"/>
    <x v="42"/>
    <x v="17"/>
    <x v="41"/>
    <x v="46"/>
  </r>
  <r>
    <x v="322"/>
    <x v="13"/>
    <n v="1"/>
    <x v="0"/>
    <x v="22"/>
    <x v="0"/>
    <x v="6"/>
    <x v="1"/>
    <x v="13"/>
    <x v="11"/>
    <x v="27"/>
    <x v="42"/>
    <x v="4"/>
    <x v="60"/>
    <x v="9"/>
  </r>
  <r>
    <x v="323"/>
    <x v="13"/>
    <n v="1"/>
    <x v="0"/>
    <x v="23"/>
    <x v="0"/>
    <x v="6"/>
    <x v="1"/>
    <x v="15"/>
    <x v="19"/>
    <x v="28"/>
    <x v="23"/>
    <x v="5"/>
    <x v="16"/>
    <x v="110"/>
  </r>
  <r>
    <x v="324"/>
    <x v="14"/>
    <n v="1"/>
    <x v="0"/>
    <x v="0"/>
    <x v="0"/>
    <x v="0"/>
    <x v="0"/>
    <x v="15"/>
    <x v="19"/>
    <x v="28"/>
    <x v="23"/>
    <x v="0"/>
    <x v="18"/>
    <x v="20"/>
  </r>
  <r>
    <x v="325"/>
    <x v="14"/>
    <n v="1"/>
    <x v="0"/>
    <x v="1"/>
    <x v="0"/>
    <x v="0"/>
    <x v="1"/>
    <x v="13"/>
    <x v="13"/>
    <x v="29"/>
    <x v="3"/>
    <x v="4"/>
    <x v="72"/>
    <x v="25"/>
  </r>
  <r>
    <x v="326"/>
    <x v="14"/>
    <n v="1"/>
    <x v="0"/>
    <x v="2"/>
    <x v="0"/>
    <x v="0"/>
    <x v="1"/>
    <x v="13"/>
    <x v="13"/>
    <x v="29"/>
    <x v="3"/>
    <x v="3"/>
    <x v="98"/>
    <x v="47"/>
  </r>
  <r>
    <x v="327"/>
    <x v="14"/>
    <n v="1"/>
    <x v="0"/>
    <x v="3"/>
    <x v="0"/>
    <x v="0"/>
    <x v="1"/>
    <x v="13"/>
    <x v="11"/>
    <x v="29"/>
    <x v="25"/>
    <x v="5"/>
    <x v="7"/>
    <x v="7"/>
  </r>
  <r>
    <x v="328"/>
    <x v="14"/>
    <n v="1"/>
    <x v="0"/>
    <x v="4"/>
    <x v="0"/>
    <x v="0"/>
    <x v="1"/>
    <x v="13"/>
    <x v="11"/>
    <x v="29"/>
    <x v="25"/>
    <x v="3"/>
    <x v="34"/>
    <x v="36"/>
  </r>
  <r>
    <x v="329"/>
    <x v="14"/>
    <n v="1"/>
    <x v="0"/>
    <x v="5"/>
    <x v="0"/>
    <x v="0"/>
    <x v="0"/>
    <x v="13"/>
    <x v="11"/>
    <x v="29"/>
    <x v="25"/>
    <x v="3"/>
    <x v="4"/>
    <x v="4"/>
  </r>
  <r>
    <x v="330"/>
    <x v="14"/>
    <n v="1"/>
    <x v="0"/>
    <x v="6"/>
    <x v="0"/>
    <x v="0"/>
    <x v="0"/>
    <x v="14"/>
    <x v="17"/>
    <x v="30"/>
    <x v="19"/>
    <x v="5"/>
    <x v="6"/>
    <x v="6"/>
  </r>
  <r>
    <x v="331"/>
    <x v="14"/>
    <n v="1"/>
    <x v="0"/>
    <x v="7"/>
    <x v="0"/>
    <x v="0"/>
    <x v="0"/>
    <x v="14"/>
    <x v="12"/>
    <x v="30"/>
    <x v="43"/>
    <x v="5"/>
    <x v="33"/>
    <x v="98"/>
  </r>
  <r>
    <x v="332"/>
    <x v="14"/>
    <n v="1"/>
    <x v="0"/>
    <x v="8"/>
    <x v="0"/>
    <x v="0"/>
    <x v="0"/>
    <x v="14"/>
    <x v="20"/>
    <x v="30"/>
    <x v="12"/>
    <x v="5"/>
    <x v="97"/>
    <x v="84"/>
  </r>
  <r>
    <x v="333"/>
    <x v="14"/>
    <n v="1"/>
    <x v="0"/>
    <x v="9"/>
    <x v="0"/>
    <x v="0"/>
    <x v="0"/>
    <x v="13"/>
    <x v="18"/>
    <x v="26"/>
    <x v="12"/>
    <x v="4"/>
    <x v="17"/>
    <x v="63"/>
  </r>
  <r>
    <x v="334"/>
    <x v="14"/>
    <n v="1"/>
    <x v="0"/>
    <x v="10"/>
    <x v="0"/>
    <x v="0"/>
    <x v="0"/>
    <x v="15"/>
    <x v="13"/>
    <x v="29"/>
    <x v="13"/>
    <x v="4"/>
    <x v="77"/>
    <x v="29"/>
  </r>
  <r>
    <x v="335"/>
    <x v="14"/>
    <n v="1"/>
    <x v="0"/>
    <x v="11"/>
    <x v="0"/>
    <x v="0"/>
    <x v="0"/>
    <x v="2"/>
    <x v="13"/>
    <x v="28"/>
    <x v="11"/>
    <x v="25"/>
    <x v="25"/>
    <x v="44"/>
  </r>
  <r>
    <x v="336"/>
    <x v="14"/>
    <n v="1"/>
    <x v="0"/>
    <x v="12"/>
    <x v="0"/>
    <x v="0"/>
    <x v="0"/>
    <x v="0"/>
    <x v="11"/>
    <x v="37"/>
    <x v="11"/>
    <x v="13"/>
    <x v="64"/>
    <x v="70"/>
  </r>
  <r>
    <x v="337"/>
    <x v="14"/>
    <n v="1"/>
    <x v="0"/>
    <x v="13"/>
    <x v="0"/>
    <x v="0"/>
    <x v="0"/>
    <x v="17"/>
    <x v="2"/>
    <x v="41"/>
    <x v="9"/>
    <x v="27"/>
    <x v="122"/>
    <x v="129"/>
  </r>
  <r>
    <x v="338"/>
    <x v="14"/>
    <n v="1"/>
    <x v="0"/>
    <x v="14"/>
    <x v="0"/>
    <x v="0"/>
    <x v="0"/>
    <x v="11"/>
    <x v="0"/>
    <x v="17"/>
    <x v="8"/>
    <x v="7"/>
    <x v="50"/>
    <x v="130"/>
  </r>
  <r>
    <x v="339"/>
    <x v="14"/>
    <n v="1"/>
    <x v="0"/>
    <x v="15"/>
    <x v="0"/>
    <x v="0"/>
    <x v="1"/>
    <x v="3"/>
    <x v="21"/>
    <x v="42"/>
    <x v="10"/>
    <x v="27"/>
    <x v="123"/>
    <x v="131"/>
  </r>
  <r>
    <x v="340"/>
    <x v="14"/>
    <n v="1"/>
    <x v="0"/>
    <x v="16"/>
    <x v="0"/>
    <x v="0"/>
    <x v="1"/>
    <x v="10"/>
    <x v="6"/>
    <x v="46"/>
    <x v="10"/>
    <x v="28"/>
    <x v="73"/>
    <x v="116"/>
  </r>
  <r>
    <x v="341"/>
    <x v="14"/>
    <n v="1"/>
    <x v="0"/>
    <x v="17"/>
    <x v="0"/>
    <x v="0"/>
    <x v="1"/>
    <x v="3"/>
    <x v="25"/>
    <x v="42"/>
    <x v="8"/>
    <x v="8"/>
    <x v="25"/>
    <x v="56"/>
  </r>
  <r>
    <x v="342"/>
    <x v="14"/>
    <n v="1"/>
    <x v="0"/>
    <x v="18"/>
    <x v="0"/>
    <x v="0"/>
    <x v="1"/>
    <x v="11"/>
    <x v="0"/>
    <x v="49"/>
    <x v="7"/>
    <x v="13"/>
    <x v="94"/>
    <x v="11"/>
  </r>
  <r>
    <x v="343"/>
    <x v="14"/>
    <n v="1"/>
    <x v="0"/>
    <x v="19"/>
    <x v="0"/>
    <x v="0"/>
    <x v="1"/>
    <x v="3"/>
    <x v="25"/>
    <x v="17"/>
    <x v="7"/>
    <x v="24"/>
    <x v="91"/>
    <x v="30"/>
  </r>
  <r>
    <x v="344"/>
    <x v="14"/>
    <n v="1"/>
    <x v="0"/>
    <x v="20"/>
    <x v="0"/>
    <x v="0"/>
    <x v="1"/>
    <x v="3"/>
    <x v="25"/>
    <x v="17"/>
    <x v="7"/>
    <x v="15"/>
    <x v="96"/>
    <x v="102"/>
  </r>
  <r>
    <x v="345"/>
    <x v="14"/>
    <n v="1"/>
    <x v="0"/>
    <x v="21"/>
    <x v="0"/>
    <x v="0"/>
    <x v="1"/>
    <x v="3"/>
    <x v="25"/>
    <x v="17"/>
    <x v="11"/>
    <x v="15"/>
    <x v="82"/>
    <x v="52"/>
  </r>
  <r>
    <x v="346"/>
    <x v="14"/>
    <n v="1"/>
    <x v="0"/>
    <x v="22"/>
    <x v="0"/>
    <x v="0"/>
    <x v="1"/>
    <x v="11"/>
    <x v="21"/>
    <x v="16"/>
    <x v="19"/>
    <x v="3"/>
    <x v="16"/>
    <x v="132"/>
  </r>
  <r>
    <x v="347"/>
    <x v="14"/>
    <n v="1"/>
    <x v="0"/>
    <x v="23"/>
    <x v="0"/>
    <x v="0"/>
    <x v="0"/>
    <x v="11"/>
    <x v="0"/>
    <x v="49"/>
    <x v="8"/>
    <x v="2"/>
    <x v="87"/>
    <x v="40"/>
  </r>
  <r>
    <x v="348"/>
    <x v="15"/>
    <n v="1"/>
    <x v="0"/>
    <x v="0"/>
    <x v="0"/>
    <x v="1"/>
    <x v="0"/>
    <x v="12"/>
    <x v="25"/>
    <x v="34"/>
    <x v="44"/>
    <x v="15"/>
    <x v="39"/>
    <x v="21"/>
  </r>
  <r>
    <x v="349"/>
    <x v="15"/>
    <n v="1"/>
    <x v="0"/>
    <x v="1"/>
    <x v="0"/>
    <x v="1"/>
    <x v="0"/>
    <x v="12"/>
    <x v="1"/>
    <x v="34"/>
    <x v="12"/>
    <x v="17"/>
    <x v="23"/>
    <x v="84"/>
  </r>
  <r>
    <x v="350"/>
    <x v="15"/>
    <n v="1"/>
    <x v="0"/>
    <x v="2"/>
    <x v="0"/>
    <x v="1"/>
    <x v="0"/>
    <x v="12"/>
    <x v="0"/>
    <x v="34"/>
    <x v="3"/>
    <x v="0"/>
    <x v="0"/>
    <x v="0"/>
  </r>
  <r>
    <x v="351"/>
    <x v="15"/>
    <n v="1"/>
    <x v="0"/>
    <x v="3"/>
    <x v="0"/>
    <x v="1"/>
    <x v="0"/>
    <x v="1"/>
    <x v="1"/>
    <x v="27"/>
    <x v="45"/>
    <x v="14"/>
    <x v="8"/>
    <x v="93"/>
  </r>
  <r>
    <x v="352"/>
    <x v="15"/>
    <n v="1"/>
    <x v="0"/>
    <x v="4"/>
    <x v="0"/>
    <x v="1"/>
    <x v="0"/>
    <x v="12"/>
    <x v="2"/>
    <x v="34"/>
    <x v="13"/>
    <x v="3"/>
    <x v="4"/>
    <x v="4"/>
  </r>
  <r>
    <x v="353"/>
    <x v="15"/>
    <n v="1"/>
    <x v="0"/>
    <x v="5"/>
    <x v="0"/>
    <x v="1"/>
    <x v="1"/>
    <x v="12"/>
    <x v="2"/>
    <x v="34"/>
    <x v="13"/>
    <x v="5"/>
    <x v="4"/>
    <x v="5"/>
  </r>
  <r>
    <x v="354"/>
    <x v="15"/>
    <n v="1"/>
    <x v="0"/>
    <x v="6"/>
    <x v="0"/>
    <x v="1"/>
    <x v="1"/>
    <x v="12"/>
    <x v="2"/>
    <x v="34"/>
    <x v="13"/>
    <x v="3"/>
    <x v="4"/>
    <x v="4"/>
  </r>
  <r>
    <x v="355"/>
    <x v="15"/>
    <n v="1"/>
    <x v="0"/>
    <x v="7"/>
    <x v="0"/>
    <x v="1"/>
    <x v="1"/>
    <x v="0"/>
    <x v="12"/>
    <x v="34"/>
    <x v="9"/>
    <x v="3"/>
    <x v="35"/>
    <x v="6"/>
  </r>
  <r>
    <x v="356"/>
    <x v="15"/>
    <n v="1"/>
    <x v="0"/>
    <x v="8"/>
    <x v="0"/>
    <x v="1"/>
    <x v="0"/>
    <x v="1"/>
    <x v="12"/>
    <x v="28"/>
    <x v="8"/>
    <x v="3"/>
    <x v="72"/>
    <x v="109"/>
  </r>
  <r>
    <x v="357"/>
    <x v="15"/>
    <n v="1"/>
    <x v="0"/>
    <x v="9"/>
    <x v="0"/>
    <x v="1"/>
    <x v="0"/>
    <x v="1"/>
    <x v="12"/>
    <x v="33"/>
    <x v="7"/>
    <x v="0"/>
    <x v="31"/>
    <x v="2"/>
  </r>
  <r>
    <x v="358"/>
    <x v="15"/>
    <n v="1"/>
    <x v="0"/>
    <x v="10"/>
    <x v="0"/>
    <x v="1"/>
    <x v="0"/>
    <x v="1"/>
    <x v="12"/>
    <x v="33"/>
    <x v="8"/>
    <x v="1"/>
    <x v="13"/>
    <x v="67"/>
  </r>
  <r>
    <x v="359"/>
    <x v="15"/>
    <n v="1"/>
    <x v="0"/>
    <x v="11"/>
    <x v="0"/>
    <x v="1"/>
    <x v="0"/>
    <x v="0"/>
    <x v="11"/>
    <x v="18"/>
    <x v="7"/>
    <x v="29"/>
    <x v="14"/>
    <x v="15"/>
  </r>
  <r>
    <x v="360"/>
    <x v="15"/>
    <n v="1"/>
    <x v="0"/>
    <x v="12"/>
    <x v="0"/>
    <x v="1"/>
    <x v="0"/>
    <x v="0"/>
    <x v="12"/>
    <x v="48"/>
    <x v="8"/>
    <x v="8"/>
    <x v="102"/>
    <x v="133"/>
  </r>
  <r>
    <x v="361"/>
    <x v="15"/>
    <n v="1"/>
    <x v="0"/>
    <x v="13"/>
    <x v="0"/>
    <x v="1"/>
    <x v="0"/>
    <x v="12"/>
    <x v="11"/>
    <x v="23"/>
    <x v="9"/>
    <x v="29"/>
    <x v="73"/>
    <x v="130"/>
  </r>
  <r>
    <x v="362"/>
    <x v="15"/>
    <n v="1"/>
    <x v="0"/>
    <x v="14"/>
    <x v="0"/>
    <x v="1"/>
    <x v="0"/>
    <x v="17"/>
    <x v="1"/>
    <x v="42"/>
    <x v="7"/>
    <x v="30"/>
    <x v="94"/>
    <x v="134"/>
  </r>
  <r>
    <x v="363"/>
    <x v="15"/>
    <n v="1"/>
    <x v="0"/>
    <x v="15"/>
    <x v="0"/>
    <x v="1"/>
    <x v="0"/>
    <x v="12"/>
    <x v="19"/>
    <x v="41"/>
    <x v="7"/>
    <x v="10"/>
    <x v="78"/>
    <x v="135"/>
  </r>
  <r>
    <x v="364"/>
    <x v="15"/>
    <n v="1"/>
    <x v="0"/>
    <x v="16"/>
    <x v="0"/>
    <x v="1"/>
    <x v="0"/>
    <x v="0"/>
    <x v="11"/>
    <x v="41"/>
    <x v="11"/>
    <x v="30"/>
    <x v="99"/>
    <x v="111"/>
  </r>
  <r>
    <x v="365"/>
    <x v="15"/>
    <n v="1"/>
    <x v="0"/>
    <x v="17"/>
    <x v="0"/>
    <x v="1"/>
    <x v="0"/>
    <x v="1"/>
    <x v="12"/>
    <x v="38"/>
    <x v="7"/>
    <x v="29"/>
    <x v="70"/>
    <x v="136"/>
  </r>
  <r>
    <x v="366"/>
    <x v="15"/>
    <n v="1"/>
    <x v="0"/>
    <x v="18"/>
    <x v="0"/>
    <x v="1"/>
    <x v="0"/>
    <x v="2"/>
    <x v="12"/>
    <x v="22"/>
    <x v="13"/>
    <x v="16"/>
    <x v="90"/>
    <x v="16"/>
  </r>
  <r>
    <x v="367"/>
    <x v="15"/>
    <n v="1"/>
    <x v="0"/>
    <x v="19"/>
    <x v="0"/>
    <x v="1"/>
    <x v="0"/>
    <x v="15"/>
    <x v="13"/>
    <x v="19"/>
    <x v="12"/>
    <x v="24"/>
    <x v="12"/>
    <x v="42"/>
  </r>
  <r>
    <x v="368"/>
    <x v="15"/>
    <n v="1"/>
    <x v="0"/>
    <x v="20"/>
    <x v="0"/>
    <x v="1"/>
    <x v="0"/>
    <x v="15"/>
    <x v="13"/>
    <x v="19"/>
    <x v="13"/>
    <x v="18"/>
    <x v="54"/>
    <x v="52"/>
  </r>
  <r>
    <x v="369"/>
    <x v="15"/>
    <n v="1"/>
    <x v="0"/>
    <x v="21"/>
    <x v="0"/>
    <x v="1"/>
    <x v="0"/>
    <x v="15"/>
    <x v="13"/>
    <x v="33"/>
    <x v="13"/>
    <x v="15"/>
    <x v="97"/>
    <x v="20"/>
  </r>
  <r>
    <x v="370"/>
    <x v="15"/>
    <n v="1"/>
    <x v="0"/>
    <x v="22"/>
    <x v="0"/>
    <x v="1"/>
    <x v="1"/>
    <x v="2"/>
    <x v="12"/>
    <x v="36"/>
    <x v="12"/>
    <x v="4"/>
    <x v="23"/>
    <x v="137"/>
  </r>
  <r>
    <x v="371"/>
    <x v="15"/>
    <n v="1"/>
    <x v="0"/>
    <x v="23"/>
    <x v="0"/>
    <x v="1"/>
    <x v="1"/>
    <x v="2"/>
    <x v="11"/>
    <x v="22"/>
    <x v="19"/>
    <x v="3"/>
    <x v="72"/>
    <x v="109"/>
  </r>
  <r>
    <x v="372"/>
    <x v="16"/>
    <n v="1"/>
    <x v="0"/>
    <x v="0"/>
    <x v="1"/>
    <x v="2"/>
    <x v="1"/>
    <x v="2"/>
    <x v="13"/>
    <x v="19"/>
    <x v="11"/>
    <x v="5"/>
    <x v="20"/>
    <x v="22"/>
  </r>
  <r>
    <x v="373"/>
    <x v="16"/>
    <n v="1"/>
    <x v="0"/>
    <x v="1"/>
    <x v="1"/>
    <x v="2"/>
    <x v="1"/>
    <x v="2"/>
    <x v="13"/>
    <x v="18"/>
    <x v="10"/>
    <x v="5"/>
    <x v="89"/>
    <x v="0"/>
  </r>
  <r>
    <x v="374"/>
    <x v="16"/>
    <n v="1"/>
    <x v="0"/>
    <x v="2"/>
    <x v="1"/>
    <x v="2"/>
    <x v="1"/>
    <x v="15"/>
    <x v="17"/>
    <x v="21"/>
    <x v="7"/>
    <x v="3"/>
    <x v="21"/>
    <x v="7"/>
  </r>
  <r>
    <x v="375"/>
    <x v="16"/>
    <n v="1"/>
    <x v="0"/>
    <x v="3"/>
    <x v="1"/>
    <x v="2"/>
    <x v="1"/>
    <x v="15"/>
    <x v="18"/>
    <x v="21"/>
    <x v="10"/>
    <x v="3"/>
    <x v="6"/>
    <x v="5"/>
  </r>
  <r>
    <x v="376"/>
    <x v="16"/>
    <n v="1"/>
    <x v="0"/>
    <x v="4"/>
    <x v="1"/>
    <x v="2"/>
    <x v="1"/>
    <x v="15"/>
    <x v="13"/>
    <x v="21"/>
    <x v="12"/>
    <x v="5"/>
    <x v="6"/>
    <x v="6"/>
  </r>
  <r>
    <x v="377"/>
    <x v="16"/>
    <n v="1"/>
    <x v="0"/>
    <x v="5"/>
    <x v="1"/>
    <x v="2"/>
    <x v="1"/>
    <x v="15"/>
    <x v="13"/>
    <x v="21"/>
    <x v="13"/>
    <x v="3"/>
    <x v="4"/>
    <x v="4"/>
  </r>
  <r>
    <x v="378"/>
    <x v="16"/>
    <n v="1"/>
    <x v="0"/>
    <x v="6"/>
    <x v="1"/>
    <x v="2"/>
    <x v="1"/>
    <x v="15"/>
    <x v="18"/>
    <x v="21"/>
    <x v="10"/>
    <x v="3"/>
    <x v="34"/>
    <x v="36"/>
  </r>
  <r>
    <x v="379"/>
    <x v="16"/>
    <n v="1"/>
    <x v="0"/>
    <x v="7"/>
    <x v="1"/>
    <x v="2"/>
    <x v="1"/>
    <x v="13"/>
    <x v="18"/>
    <x v="20"/>
    <x v="12"/>
    <x v="17"/>
    <x v="33"/>
    <x v="3"/>
  </r>
  <r>
    <x v="380"/>
    <x v="16"/>
    <n v="1"/>
    <x v="0"/>
    <x v="8"/>
    <x v="1"/>
    <x v="2"/>
    <x v="1"/>
    <x v="13"/>
    <x v="20"/>
    <x v="19"/>
    <x v="11"/>
    <x v="0"/>
    <x v="10"/>
    <x v="63"/>
  </r>
  <r>
    <x v="381"/>
    <x v="16"/>
    <n v="1"/>
    <x v="0"/>
    <x v="9"/>
    <x v="1"/>
    <x v="2"/>
    <x v="1"/>
    <x v="13"/>
    <x v="20"/>
    <x v="19"/>
    <x v="11"/>
    <x v="1"/>
    <x v="87"/>
    <x v="105"/>
  </r>
  <r>
    <x v="382"/>
    <x v="16"/>
    <n v="1"/>
    <x v="0"/>
    <x v="10"/>
    <x v="1"/>
    <x v="2"/>
    <x v="1"/>
    <x v="13"/>
    <x v="20"/>
    <x v="20"/>
    <x v="7"/>
    <x v="18"/>
    <x v="54"/>
    <x v="52"/>
  </r>
  <r>
    <x v="383"/>
    <x v="16"/>
    <n v="1"/>
    <x v="0"/>
    <x v="11"/>
    <x v="1"/>
    <x v="2"/>
    <x v="1"/>
    <x v="13"/>
    <x v="20"/>
    <x v="28"/>
    <x v="10"/>
    <x v="14"/>
    <x v="11"/>
    <x v="37"/>
  </r>
  <r>
    <x v="384"/>
    <x v="16"/>
    <n v="1"/>
    <x v="0"/>
    <x v="12"/>
    <x v="1"/>
    <x v="2"/>
    <x v="1"/>
    <x v="15"/>
    <x v="13"/>
    <x v="19"/>
    <x v="12"/>
    <x v="22"/>
    <x v="14"/>
    <x v="138"/>
  </r>
  <r>
    <x v="385"/>
    <x v="16"/>
    <n v="1"/>
    <x v="0"/>
    <x v="13"/>
    <x v="1"/>
    <x v="2"/>
    <x v="1"/>
    <x v="15"/>
    <x v="13"/>
    <x v="19"/>
    <x v="12"/>
    <x v="23"/>
    <x v="122"/>
    <x v="15"/>
  </r>
  <r>
    <x v="386"/>
    <x v="16"/>
    <n v="1"/>
    <x v="0"/>
    <x v="14"/>
    <x v="1"/>
    <x v="2"/>
    <x v="1"/>
    <x v="15"/>
    <x v="12"/>
    <x v="21"/>
    <x v="19"/>
    <x v="6"/>
    <x v="64"/>
    <x v="80"/>
  </r>
  <r>
    <x v="387"/>
    <x v="16"/>
    <n v="1"/>
    <x v="0"/>
    <x v="15"/>
    <x v="1"/>
    <x v="2"/>
    <x v="1"/>
    <x v="2"/>
    <x v="12"/>
    <x v="19"/>
    <x v="13"/>
    <x v="27"/>
    <x v="109"/>
    <x v="15"/>
  </r>
  <r>
    <x v="388"/>
    <x v="16"/>
    <n v="1"/>
    <x v="0"/>
    <x v="16"/>
    <x v="1"/>
    <x v="2"/>
    <x v="1"/>
    <x v="2"/>
    <x v="12"/>
    <x v="19"/>
    <x v="13"/>
    <x v="15"/>
    <x v="83"/>
    <x v="100"/>
  </r>
  <r>
    <x v="389"/>
    <x v="16"/>
    <n v="1"/>
    <x v="0"/>
    <x v="17"/>
    <x v="1"/>
    <x v="2"/>
    <x v="0"/>
    <x v="2"/>
    <x v="13"/>
    <x v="33"/>
    <x v="10"/>
    <x v="17"/>
    <x v="28"/>
    <x v="68"/>
  </r>
  <r>
    <x v="390"/>
    <x v="16"/>
    <n v="1"/>
    <x v="0"/>
    <x v="18"/>
    <x v="1"/>
    <x v="2"/>
    <x v="1"/>
    <x v="15"/>
    <x v="17"/>
    <x v="28"/>
    <x v="7"/>
    <x v="18"/>
    <x v="66"/>
    <x v="101"/>
  </r>
  <r>
    <x v="391"/>
    <x v="16"/>
    <n v="1"/>
    <x v="0"/>
    <x v="19"/>
    <x v="1"/>
    <x v="2"/>
    <x v="2"/>
    <x v="15"/>
    <x v="18"/>
    <x v="29"/>
    <x v="10"/>
    <x v="4"/>
    <x v="29"/>
    <x v="122"/>
  </r>
  <r>
    <x v="392"/>
    <x v="16"/>
    <n v="1"/>
    <x v="0"/>
    <x v="20"/>
    <x v="1"/>
    <x v="2"/>
    <x v="2"/>
    <x v="13"/>
    <x v="20"/>
    <x v="1"/>
    <x v="10"/>
    <x v="17"/>
    <x v="31"/>
    <x v="63"/>
  </r>
  <r>
    <x v="393"/>
    <x v="16"/>
    <n v="1"/>
    <x v="0"/>
    <x v="21"/>
    <x v="1"/>
    <x v="2"/>
    <x v="2"/>
    <x v="13"/>
    <x v="20"/>
    <x v="1"/>
    <x v="10"/>
    <x v="0"/>
    <x v="9"/>
    <x v="110"/>
  </r>
  <r>
    <x v="394"/>
    <x v="16"/>
    <n v="1"/>
    <x v="0"/>
    <x v="22"/>
    <x v="1"/>
    <x v="2"/>
    <x v="2"/>
    <x v="14"/>
    <x v="16"/>
    <x v="43"/>
    <x v="7"/>
    <x v="3"/>
    <x v="0"/>
    <x v="3"/>
  </r>
  <r>
    <x v="395"/>
    <x v="16"/>
    <n v="1"/>
    <x v="0"/>
    <x v="23"/>
    <x v="1"/>
    <x v="2"/>
    <x v="2"/>
    <x v="13"/>
    <x v="14"/>
    <x v="3"/>
    <x v="8"/>
    <x v="5"/>
    <x v="35"/>
    <x v="48"/>
  </r>
  <r>
    <x v="396"/>
    <x v="17"/>
    <n v="1"/>
    <x v="0"/>
    <x v="12"/>
    <x v="0"/>
    <x v="3"/>
    <x v="1"/>
    <x v="2"/>
    <x v="18"/>
    <x v="3"/>
    <x v="14"/>
    <x v="3"/>
    <x v="35"/>
    <x v="6"/>
  </r>
  <r>
    <x v="397"/>
    <x v="17"/>
    <n v="1"/>
    <x v="0"/>
    <x v="13"/>
    <x v="0"/>
    <x v="3"/>
    <x v="1"/>
    <x v="2"/>
    <x v="13"/>
    <x v="3"/>
    <x v="11"/>
    <x v="3"/>
    <x v="97"/>
    <x v="34"/>
  </r>
  <r>
    <x v="398"/>
    <x v="17"/>
    <n v="1"/>
    <x v="0"/>
    <x v="14"/>
    <x v="0"/>
    <x v="3"/>
    <x v="1"/>
    <x v="1"/>
    <x v="11"/>
    <x v="1"/>
    <x v="13"/>
    <x v="4"/>
    <x v="16"/>
    <x v="20"/>
  </r>
  <r>
    <x v="399"/>
    <x v="17"/>
    <n v="1"/>
    <x v="0"/>
    <x v="15"/>
    <x v="0"/>
    <x v="3"/>
    <x v="1"/>
    <x v="1"/>
    <x v="11"/>
    <x v="9"/>
    <x v="13"/>
    <x v="0"/>
    <x v="1"/>
    <x v="17"/>
  </r>
  <r>
    <x v="400"/>
    <x v="17"/>
    <n v="1"/>
    <x v="0"/>
    <x v="16"/>
    <x v="0"/>
    <x v="3"/>
    <x v="1"/>
    <x v="1"/>
    <x v="11"/>
    <x v="9"/>
    <x v="10"/>
    <x v="3"/>
    <x v="124"/>
    <x v="42"/>
  </r>
  <r>
    <x v="401"/>
    <x v="17"/>
    <n v="1"/>
    <x v="0"/>
    <x v="17"/>
    <x v="0"/>
    <x v="3"/>
    <x v="1"/>
    <x v="1"/>
    <x v="11"/>
    <x v="7"/>
    <x v="10"/>
    <x v="5"/>
    <x v="125"/>
    <x v="139"/>
  </r>
  <r>
    <x v="402"/>
    <x v="17"/>
    <n v="1"/>
    <x v="0"/>
    <x v="18"/>
    <x v="0"/>
    <x v="3"/>
    <x v="1"/>
    <x v="1"/>
    <x v="11"/>
    <x v="1"/>
    <x v="13"/>
    <x v="5"/>
    <x v="126"/>
    <x v="140"/>
  </r>
  <r>
    <x v="403"/>
    <x v="17"/>
    <n v="1"/>
    <x v="0"/>
    <x v="19"/>
    <x v="0"/>
    <x v="3"/>
    <x v="1"/>
    <x v="1"/>
    <x v="11"/>
    <x v="1"/>
    <x v="12"/>
    <x v="5"/>
    <x v="52"/>
    <x v="111"/>
  </r>
  <r>
    <x v="404"/>
    <x v="17"/>
    <n v="1"/>
    <x v="0"/>
    <x v="20"/>
    <x v="0"/>
    <x v="3"/>
    <x v="1"/>
    <x v="1"/>
    <x v="1"/>
    <x v="9"/>
    <x v="46"/>
    <x v="3"/>
    <x v="93"/>
    <x v="56"/>
  </r>
  <r>
    <x v="405"/>
    <x v="17"/>
    <n v="1"/>
    <x v="0"/>
    <x v="21"/>
    <x v="0"/>
    <x v="3"/>
    <x v="1"/>
    <x v="1"/>
    <x v="19"/>
    <x v="43"/>
    <x v="19"/>
    <x v="3"/>
    <x v="40"/>
    <x v="102"/>
  </r>
  <r>
    <x v="406"/>
    <x v="17"/>
    <n v="1"/>
    <x v="0"/>
    <x v="22"/>
    <x v="0"/>
    <x v="3"/>
    <x v="1"/>
    <x v="1"/>
    <x v="2"/>
    <x v="43"/>
    <x v="3"/>
    <x v="3"/>
    <x v="39"/>
    <x v="63"/>
  </r>
  <r>
    <x v="407"/>
    <x v="17"/>
    <n v="1"/>
    <x v="0"/>
    <x v="23"/>
    <x v="0"/>
    <x v="3"/>
    <x v="1"/>
    <x v="1"/>
    <x v="1"/>
    <x v="43"/>
    <x v="47"/>
    <x v="5"/>
    <x v="23"/>
    <x v="25"/>
  </r>
  <r>
    <x v="408"/>
    <x v="18"/>
    <n v="1"/>
    <x v="0"/>
    <x v="0"/>
    <x v="0"/>
    <x v="4"/>
    <x v="1"/>
    <x v="1"/>
    <x v="1"/>
    <x v="43"/>
    <x v="47"/>
    <x v="3"/>
    <x v="35"/>
    <x v="6"/>
  </r>
  <r>
    <x v="409"/>
    <x v="18"/>
    <n v="1"/>
    <x v="0"/>
    <x v="1"/>
    <x v="0"/>
    <x v="4"/>
    <x v="2"/>
    <x v="1"/>
    <x v="11"/>
    <x v="43"/>
    <x v="12"/>
    <x v="5"/>
    <x v="8"/>
    <x v="85"/>
  </r>
  <r>
    <x v="410"/>
    <x v="18"/>
    <n v="1"/>
    <x v="0"/>
    <x v="2"/>
    <x v="0"/>
    <x v="4"/>
    <x v="2"/>
    <x v="1"/>
    <x v="11"/>
    <x v="43"/>
    <x v="12"/>
    <x v="3"/>
    <x v="35"/>
    <x v="6"/>
  </r>
  <r>
    <x v="411"/>
    <x v="18"/>
    <n v="1"/>
    <x v="0"/>
    <x v="4"/>
    <x v="0"/>
    <x v="4"/>
    <x v="2"/>
    <x v="1"/>
    <x v="11"/>
    <x v="43"/>
    <x v="12"/>
    <x v="5"/>
    <x v="4"/>
    <x v="5"/>
  </r>
  <r>
    <x v="412"/>
    <x v="18"/>
    <n v="1"/>
    <x v="0"/>
    <x v="5"/>
    <x v="0"/>
    <x v="4"/>
    <x v="1"/>
    <x v="1"/>
    <x v="2"/>
    <x v="43"/>
    <x v="3"/>
    <x v="3"/>
    <x v="7"/>
    <x v="85"/>
  </r>
  <r>
    <x v="413"/>
    <x v="18"/>
    <n v="1"/>
    <x v="0"/>
    <x v="6"/>
    <x v="0"/>
    <x v="4"/>
    <x v="1"/>
    <x v="1"/>
    <x v="2"/>
    <x v="43"/>
    <x v="3"/>
    <x v="3"/>
    <x v="1"/>
    <x v="2"/>
  </r>
  <r>
    <x v="414"/>
    <x v="18"/>
    <n v="1"/>
    <x v="0"/>
    <x v="7"/>
    <x v="0"/>
    <x v="4"/>
    <x v="1"/>
    <x v="0"/>
    <x v="2"/>
    <x v="50"/>
    <x v="19"/>
    <x v="5"/>
    <x v="121"/>
    <x v="127"/>
  </r>
  <r>
    <x v="415"/>
    <x v="18"/>
    <n v="1"/>
    <x v="0"/>
    <x v="8"/>
    <x v="0"/>
    <x v="4"/>
    <x v="1"/>
    <x v="0"/>
    <x v="2"/>
    <x v="43"/>
    <x v="19"/>
    <x v="5"/>
    <x v="127"/>
    <x v="141"/>
  </r>
  <r>
    <x v="416"/>
    <x v="18"/>
    <n v="1"/>
    <x v="0"/>
    <x v="9"/>
    <x v="0"/>
    <x v="4"/>
    <x v="1"/>
    <x v="0"/>
    <x v="2"/>
    <x v="43"/>
    <x v="19"/>
    <x v="4"/>
    <x v="128"/>
    <x v="142"/>
  </r>
  <r>
    <x v="417"/>
    <x v="18"/>
    <n v="1"/>
    <x v="0"/>
    <x v="10"/>
    <x v="0"/>
    <x v="4"/>
    <x v="1"/>
    <x v="12"/>
    <x v="1"/>
    <x v="43"/>
    <x v="12"/>
    <x v="5"/>
    <x v="24"/>
    <x v="105"/>
  </r>
  <r>
    <x v="418"/>
    <x v="18"/>
    <n v="1"/>
    <x v="0"/>
    <x v="11"/>
    <x v="0"/>
    <x v="4"/>
    <x v="1"/>
    <x v="17"/>
    <x v="25"/>
    <x v="9"/>
    <x v="3"/>
    <x v="2"/>
    <x v="12"/>
    <x v="46"/>
  </r>
  <r>
    <x v="419"/>
    <x v="18"/>
    <n v="1"/>
    <x v="0"/>
    <x v="12"/>
    <x v="0"/>
    <x v="4"/>
    <x v="1"/>
    <x v="11"/>
    <x v="21"/>
    <x v="0"/>
    <x v="3"/>
    <x v="2"/>
    <x v="65"/>
    <x v="27"/>
  </r>
  <r>
    <x v="420"/>
    <x v="18"/>
    <n v="1"/>
    <x v="0"/>
    <x v="13"/>
    <x v="0"/>
    <x v="4"/>
    <x v="0"/>
    <x v="9"/>
    <x v="10"/>
    <x v="51"/>
    <x v="8"/>
    <x v="16"/>
    <x v="28"/>
    <x v="53"/>
  </r>
  <r>
    <x v="421"/>
    <x v="18"/>
    <n v="1"/>
    <x v="0"/>
    <x v="14"/>
    <x v="0"/>
    <x v="4"/>
    <x v="0"/>
    <x v="9"/>
    <x v="10"/>
    <x v="52"/>
    <x v="7"/>
    <x v="18"/>
    <x v="56"/>
    <x v="28"/>
  </r>
  <r>
    <x v="422"/>
    <x v="18"/>
    <n v="1"/>
    <x v="0"/>
    <x v="15"/>
    <x v="0"/>
    <x v="4"/>
    <x v="0"/>
    <x v="9"/>
    <x v="10"/>
    <x v="47"/>
    <x v="8"/>
    <x v="17"/>
    <x v="78"/>
    <x v="100"/>
  </r>
  <r>
    <x v="423"/>
    <x v="18"/>
    <n v="1"/>
    <x v="0"/>
    <x v="16"/>
    <x v="0"/>
    <x v="4"/>
    <x v="0"/>
    <x v="4"/>
    <x v="5"/>
    <x v="52"/>
    <x v="18"/>
    <x v="22"/>
    <x v="111"/>
    <x v="133"/>
  </r>
  <r>
    <x v="424"/>
    <x v="18"/>
    <n v="1"/>
    <x v="0"/>
    <x v="17"/>
    <x v="0"/>
    <x v="4"/>
    <x v="0"/>
    <x v="5"/>
    <x v="6"/>
    <x v="14"/>
    <x v="14"/>
    <x v="18"/>
    <x v="84"/>
    <x v="141"/>
  </r>
  <r>
    <x v="425"/>
    <x v="18"/>
    <n v="1"/>
    <x v="0"/>
    <x v="18"/>
    <x v="0"/>
    <x v="4"/>
    <x v="0"/>
    <x v="10"/>
    <x v="21"/>
    <x v="53"/>
    <x v="8"/>
    <x v="2"/>
    <x v="117"/>
    <x v="143"/>
  </r>
  <r>
    <x v="426"/>
    <x v="18"/>
    <n v="1"/>
    <x v="0"/>
    <x v="19"/>
    <x v="0"/>
    <x v="4"/>
    <x v="0"/>
    <x v="3"/>
    <x v="0"/>
    <x v="14"/>
    <x v="17"/>
    <x v="17"/>
    <x v="123"/>
    <x v="59"/>
  </r>
  <r>
    <x v="427"/>
    <x v="18"/>
    <n v="1"/>
    <x v="0"/>
    <x v="20"/>
    <x v="0"/>
    <x v="4"/>
    <x v="0"/>
    <x v="3"/>
    <x v="25"/>
    <x v="36"/>
    <x v="9"/>
    <x v="4"/>
    <x v="64"/>
    <x v="31"/>
  </r>
  <r>
    <x v="428"/>
    <x v="18"/>
    <n v="1"/>
    <x v="0"/>
    <x v="21"/>
    <x v="0"/>
    <x v="4"/>
    <x v="0"/>
    <x v="3"/>
    <x v="0"/>
    <x v="36"/>
    <x v="17"/>
    <x v="17"/>
    <x v="11"/>
    <x v="29"/>
  </r>
  <r>
    <x v="429"/>
    <x v="18"/>
    <n v="1"/>
    <x v="0"/>
    <x v="22"/>
    <x v="0"/>
    <x v="4"/>
    <x v="0"/>
    <x v="11"/>
    <x v="25"/>
    <x v="35"/>
    <x v="13"/>
    <x v="15"/>
    <x v="42"/>
    <x v="29"/>
  </r>
  <r>
    <x v="430"/>
    <x v="18"/>
    <n v="1"/>
    <x v="0"/>
    <x v="23"/>
    <x v="0"/>
    <x v="4"/>
    <x v="0"/>
    <x v="11"/>
    <x v="1"/>
    <x v="35"/>
    <x v="34"/>
    <x v="5"/>
    <x v="2"/>
    <x v="20"/>
  </r>
  <r>
    <x v="431"/>
    <x v="19"/>
    <n v="1"/>
    <x v="0"/>
    <x v="0"/>
    <x v="0"/>
    <x v="5"/>
    <x v="0"/>
    <x v="12"/>
    <x v="11"/>
    <x v="34"/>
    <x v="18"/>
    <x v="2"/>
    <x v="21"/>
    <x v="3"/>
  </r>
  <r>
    <x v="432"/>
    <x v="19"/>
    <n v="1"/>
    <x v="0"/>
    <x v="1"/>
    <x v="0"/>
    <x v="5"/>
    <x v="0"/>
    <x v="12"/>
    <x v="1"/>
    <x v="34"/>
    <x v="48"/>
    <x v="4"/>
    <x v="35"/>
    <x v="36"/>
  </r>
  <r>
    <x v="433"/>
    <x v="19"/>
    <n v="1"/>
    <x v="0"/>
    <x v="2"/>
    <x v="0"/>
    <x v="5"/>
    <x v="0"/>
    <x v="12"/>
    <x v="1"/>
    <x v="34"/>
    <x v="48"/>
    <x v="3"/>
    <x v="6"/>
    <x v="5"/>
  </r>
  <r>
    <x v="434"/>
    <x v="19"/>
    <n v="1"/>
    <x v="0"/>
    <x v="3"/>
    <x v="0"/>
    <x v="5"/>
    <x v="0"/>
    <x v="12"/>
    <x v="2"/>
    <x v="34"/>
    <x v="13"/>
    <x v="3"/>
    <x v="4"/>
    <x v="4"/>
  </r>
  <r>
    <x v="435"/>
    <x v="19"/>
    <n v="1"/>
    <x v="0"/>
    <x v="4"/>
    <x v="0"/>
    <x v="5"/>
    <x v="0"/>
    <x v="12"/>
    <x v="2"/>
    <x v="34"/>
    <x v="13"/>
    <x v="3"/>
    <x v="4"/>
    <x v="4"/>
  </r>
  <r>
    <x v="436"/>
    <x v="19"/>
    <n v="1"/>
    <x v="0"/>
    <x v="5"/>
    <x v="0"/>
    <x v="5"/>
    <x v="0"/>
    <x v="0"/>
    <x v="11"/>
    <x v="54"/>
    <x v="11"/>
    <x v="3"/>
    <x v="8"/>
    <x v="24"/>
  </r>
  <r>
    <x v="437"/>
    <x v="19"/>
    <n v="1"/>
    <x v="0"/>
    <x v="6"/>
    <x v="0"/>
    <x v="5"/>
    <x v="0"/>
    <x v="1"/>
    <x v="12"/>
    <x v="54"/>
    <x v="11"/>
    <x v="3"/>
    <x v="96"/>
    <x v="17"/>
  </r>
  <r>
    <x v="438"/>
    <x v="19"/>
    <n v="1"/>
    <x v="0"/>
    <x v="7"/>
    <x v="0"/>
    <x v="5"/>
    <x v="0"/>
    <x v="1"/>
    <x v="12"/>
    <x v="28"/>
    <x v="11"/>
    <x v="5"/>
    <x v="129"/>
    <x v="129"/>
  </r>
  <r>
    <x v="439"/>
    <x v="19"/>
    <n v="1"/>
    <x v="0"/>
    <x v="8"/>
    <x v="0"/>
    <x v="5"/>
    <x v="0"/>
    <x v="1"/>
    <x v="12"/>
    <x v="28"/>
    <x v="8"/>
    <x v="4"/>
    <x v="130"/>
    <x v="144"/>
  </r>
  <r>
    <x v="440"/>
    <x v="19"/>
    <n v="1"/>
    <x v="0"/>
    <x v="9"/>
    <x v="0"/>
    <x v="5"/>
    <x v="1"/>
    <x v="0"/>
    <x v="11"/>
    <x v="35"/>
    <x v="11"/>
    <x v="0"/>
    <x v="131"/>
    <x v="145"/>
  </r>
  <r>
    <x v="441"/>
    <x v="19"/>
    <n v="1"/>
    <x v="0"/>
    <x v="10"/>
    <x v="0"/>
    <x v="5"/>
    <x v="0"/>
    <x v="12"/>
    <x v="11"/>
    <x v="37"/>
    <x v="9"/>
    <x v="5"/>
    <x v="90"/>
    <x v="52"/>
  </r>
  <r>
    <x v="442"/>
    <x v="19"/>
    <n v="1"/>
    <x v="0"/>
    <x v="11"/>
    <x v="0"/>
    <x v="5"/>
    <x v="1"/>
    <x v="17"/>
    <x v="1"/>
    <x v="49"/>
    <x v="13"/>
    <x v="2"/>
    <x v="36"/>
    <x v="118"/>
  </r>
  <r>
    <x v="443"/>
    <x v="19"/>
    <n v="1"/>
    <x v="0"/>
    <x v="12"/>
    <x v="0"/>
    <x v="5"/>
    <x v="1"/>
    <x v="11"/>
    <x v="6"/>
    <x v="16"/>
    <x v="49"/>
    <x v="18"/>
    <x v="99"/>
    <x v="11"/>
  </r>
  <r>
    <x v="444"/>
    <x v="19"/>
    <n v="1"/>
    <x v="0"/>
    <x v="13"/>
    <x v="0"/>
    <x v="5"/>
    <x v="1"/>
    <x v="17"/>
    <x v="0"/>
    <x v="49"/>
    <x v="19"/>
    <x v="6"/>
    <x v="132"/>
    <x v="95"/>
  </r>
  <r>
    <x v="445"/>
    <x v="19"/>
    <n v="1"/>
    <x v="0"/>
    <x v="14"/>
    <x v="0"/>
    <x v="5"/>
    <x v="1"/>
    <x v="11"/>
    <x v="25"/>
    <x v="49"/>
    <x v="12"/>
    <x v="15"/>
    <x v="102"/>
    <x v="117"/>
  </r>
  <r>
    <x v="446"/>
    <x v="19"/>
    <n v="1"/>
    <x v="0"/>
    <x v="15"/>
    <x v="0"/>
    <x v="5"/>
    <x v="1"/>
    <x v="3"/>
    <x v="21"/>
    <x v="49"/>
    <x v="10"/>
    <x v="1"/>
    <x v="133"/>
    <x v="27"/>
  </r>
  <r>
    <x v="447"/>
    <x v="19"/>
    <n v="1"/>
    <x v="0"/>
    <x v="16"/>
    <x v="0"/>
    <x v="5"/>
    <x v="1"/>
    <x v="11"/>
    <x v="25"/>
    <x v="36"/>
    <x v="12"/>
    <x v="1"/>
    <x v="93"/>
    <x v="134"/>
  </r>
  <r>
    <x v="448"/>
    <x v="19"/>
    <n v="1"/>
    <x v="0"/>
    <x v="17"/>
    <x v="0"/>
    <x v="5"/>
    <x v="1"/>
    <x v="11"/>
    <x v="21"/>
    <x v="36"/>
    <x v="19"/>
    <x v="1"/>
    <x v="134"/>
    <x v="146"/>
  </r>
  <r>
    <x v="449"/>
    <x v="19"/>
    <n v="1"/>
    <x v="0"/>
    <x v="18"/>
    <x v="0"/>
    <x v="5"/>
    <x v="1"/>
    <x v="12"/>
    <x v="2"/>
    <x v="34"/>
    <x v="10"/>
    <x v="5"/>
    <x v="103"/>
    <x v="147"/>
  </r>
  <r>
    <x v="450"/>
    <x v="19"/>
    <n v="1"/>
    <x v="0"/>
    <x v="19"/>
    <x v="0"/>
    <x v="5"/>
    <x v="0"/>
    <x v="12"/>
    <x v="11"/>
    <x v="34"/>
    <x v="14"/>
    <x v="15"/>
    <x v="44"/>
    <x v="148"/>
  </r>
  <r>
    <x v="451"/>
    <x v="19"/>
    <n v="1"/>
    <x v="0"/>
    <x v="20"/>
    <x v="0"/>
    <x v="5"/>
    <x v="1"/>
    <x v="12"/>
    <x v="19"/>
    <x v="54"/>
    <x v="8"/>
    <x v="4"/>
    <x v="125"/>
    <x v="149"/>
  </r>
  <r>
    <x v="452"/>
    <x v="19"/>
    <n v="1"/>
    <x v="0"/>
    <x v="21"/>
    <x v="0"/>
    <x v="5"/>
    <x v="1"/>
    <x v="0"/>
    <x v="11"/>
    <x v="54"/>
    <x v="7"/>
    <x v="0"/>
    <x v="25"/>
    <x v="52"/>
  </r>
  <r>
    <x v="453"/>
    <x v="19"/>
    <n v="1"/>
    <x v="0"/>
    <x v="22"/>
    <x v="0"/>
    <x v="5"/>
    <x v="1"/>
    <x v="0"/>
    <x v="12"/>
    <x v="55"/>
    <x v="8"/>
    <x v="3"/>
    <x v="90"/>
    <x v="10"/>
  </r>
  <r>
    <x v="454"/>
    <x v="19"/>
    <n v="1"/>
    <x v="0"/>
    <x v="23"/>
    <x v="0"/>
    <x v="5"/>
    <x v="1"/>
    <x v="0"/>
    <x v="12"/>
    <x v="55"/>
    <x v="14"/>
    <x v="0"/>
    <x v="95"/>
    <x v="35"/>
  </r>
  <r>
    <x v="455"/>
    <x v="20"/>
    <n v="1"/>
    <x v="0"/>
    <x v="0"/>
    <x v="0"/>
    <x v="6"/>
    <x v="1"/>
    <x v="0"/>
    <x v="11"/>
    <x v="56"/>
    <x v="7"/>
    <x v="5"/>
    <x v="32"/>
    <x v="137"/>
  </r>
  <r>
    <x v="456"/>
    <x v="20"/>
    <n v="1"/>
    <x v="0"/>
    <x v="1"/>
    <x v="0"/>
    <x v="6"/>
    <x v="1"/>
    <x v="0"/>
    <x v="11"/>
    <x v="56"/>
    <x v="7"/>
    <x v="3"/>
    <x v="8"/>
    <x v="24"/>
  </r>
  <r>
    <x v="457"/>
    <x v="20"/>
    <n v="1"/>
    <x v="0"/>
    <x v="2"/>
    <x v="0"/>
    <x v="6"/>
    <x v="2"/>
    <x v="0"/>
    <x v="19"/>
    <x v="2"/>
    <x v="13"/>
    <x v="3"/>
    <x v="6"/>
    <x v="5"/>
  </r>
  <r>
    <x v="458"/>
    <x v="20"/>
    <n v="1"/>
    <x v="0"/>
    <x v="3"/>
    <x v="0"/>
    <x v="6"/>
    <x v="2"/>
    <x v="1"/>
    <x v="12"/>
    <x v="1"/>
    <x v="9"/>
    <x v="3"/>
    <x v="4"/>
    <x v="4"/>
  </r>
  <r>
    <x v="459"/>
    <x v="20"/>
    <n v="1"/>
    <x v="0"/>
    <x v="4"/>
    <x v="0"/>
    <x v="6"/>
    <x v="1"/>
    <x v="1"/>
    <x v="2"/>
    <x v="9"/>
    <x v="3"/>
    <x v="3"/>
    <x v="4"/>
    <x v="4"/>
  </r>
  <r>
    <x v="460"/>
    <x v="20"/>
    <n v="1"/>
    <x v="0"/>
    <x v="5"/>
    <x v="0"/>
    <x v="6"/>
    <x v="0"/>
    <x v="0"/>
    <x v="13"/>
    <x v="54"/>
    <x v="17"/>
    <x v="5"/>
    <x v="22"/>
    <x v="36"/>
  </r>
  <r>
    <x v="461"/>
    <x v="20"/>
    <n v="1"/>
    <x v="0"/>
    <x v="6"/>
    <x v="0"/>
    <x v="6"/>
    <x v="0"/>
    <x v="1"/>
    <x v="12"/>
    <x v="28"/>
    <x v="7"/>
    <x v="3"/>
    <x v="2"/>
    <x v="110"/>
  </r>
  <r>
    <x v="462"/>
    <x v="20"/>
    <n v="1"/>
    <x v="0"/>
    <x v="7"/>
    <x v="0"/>
    <x v="6"/>
    <x v="0"/>
    <x v="2"/>
    <x v="18"/>
    <x v="33"/>
    <x v="8"/>
    <x v="4"/>
    <x v="43"/>
    <x v="118"/>
  </r>
  <r>
    <x v="463"/>
    <x v="20"/>
    <n v="1"/>
    <x v="0"/>
    <x v="8"/>
    <x v="0"/>
    <x v="6"/>
    <x v="0"/>
    <x v="2"/>
    <x v="18"/>
    <x v="19"/>
    <x v="14"/>
    <x v="18"/>
    <x v="135"/>
    <x v="112"/>
  </r>
  <r>
    <x v="464"/>
    <x v="20"/>
    <n v="1"/>
    <x v="0"/>
    <x v="9"/>
    <x v="0"/>
    <x v="6"/>
    <x v="0"/>
    <x v="2"/>
    <x v="18"/>
    <x v="33"/>
    <x v="16"/>
    <x v="18"/>
    <x v="136"/>
    <x v="150"/>
  </r>
  <r>
    <x v="465"/>
    <x v="20"/>
    <n v="1"/>
    <x v="0"/>
    <x v="10"/>
    <x v="0"/>
    <x v="6"/>
    <x v="0"/>
    <x v="2"/>
    <x v="17"/>
    <x v="19"/>
    <x v="34"/>
    <x v="15"/>
    <x v="77"/>
    <x v="55"/>
  </r>
  <r>
    <x v="466"/>
    <x v="20"/>
    <n v="1"/>
    <x v="0"/>
    <x v="11"/>
    <x v="0"/>
    <x v="6"/>
    <x v="0"/>
    <x v="1"/>
    <x v="18"/>
    <x v="48"/>
    <x v="34"/>
    <x v="15"/>
    <x v="42"/>
    <x v="29"/>
  </r>
  <r>
    <x v="467"/>
    <x v="20"/>
    <n v="1"/>
    <x v="0"/>
    <x v="12"/>
    <x v="0"/>
    <x v="6"/>
    <x v="0"/>
    <x v="1"/>
    <x v="18"/>
    <x v="57"/>
    <x v="38"/>
    <x v="16"/>
    <x v="28"/>
    <x v="53"/>
  </r>
  <r>
    <x v="468"/>
    <x v="20"/>
    <n v="1"/>
    <x v="0"/>
    <x v="13"/>
    <x v="0"/>
    <x v="6"/>
    <x v="0"/>
    <x v="2"/>
    <x v="20"/>
    <x v="58"/>
    <x v="38"/>
    <x v="1"/>
    <x v="65"/>
    <x v="88"/>
  </r>
  <r>
    <x v="469"/>
    <x v="20"/>
    <n v="1"/>
    <x v="0"/>
    <x v="14"/>
    <x v="0"/>
    <x v="6"/>
    <x v="0"/>
    <x v="2"/>
    <x v="20"/>
    <x v="59"/>
    <x v="35"/>
    <x v="15"/>
    <x v="90"/>
    <x v="69"/>
  </r>
  <r>
    <x v="470"/>
    <x v="20"/>
    <n v="1"/>
    <x v="0"/>
    <x v="15"/>
    <x v="0"/>
    <x v="6"/>
    <x v="0"/>
    <x v="13"/>
    <x v="16"/>
    <x v="60"/>
    <x v="15"/>
    <x v="17"/>
    <x v="124"/>
    <x v="32"/>
  </r>
  <r>
    <x v="471"/>
    <x v="20"/>
    <n v="1"/>
    <x v="0"/>
    <x v="16"/>
    <x v="0"/>
    <x v="6"/>
    <x v="0"/>
    <x v="13"/>
    <x v="14"/>
    <x v="60"/>
    <x v="16"/>
    <x v="3"/>
    <x v="106"/>
    <x v="54"/>
  </r>
  <r>
    <x v="472"/>
    <x v="20"/>
    <n v="1"/>
    <x v="0"/>
    <x v="17"/>
    <x v="0"/>
    <x v="6"/>
    <x v="0"/>
    <x v="14"/>
    <x v="16"/>
    <x v="40"/>
    <x v="16"/>
    <x v="22"/>
    <x v="137"/>
    <x v="143"/>
  </r>
  <r>
    <x v="473"/>
    <x v="20"/>
    <n v="1"/>
    <x v="0"/>
    <x v="18"/>
    <x v="0"/>
    <x v="6"/>
    <x v="0"/>
    <x v="16"/>
    <x v="16"/>
    <x v="24"/>
    <x v="7"/>
    <x v="5"/>
    <x v="138"/>
    <x v="151"/>
  </r>
  <r>
    <x v="474"/>
    <x v="20"/>
    <n v="1"/>
    <x v="0"/>
    <x v="19"/>
    <x v="0"/>
    <x v="6"/>
    <x v="0"/>
    <x v="16"/>
    <x v="15"/>
    <x v="24"/>
    <x v="14"/>
    <x v="0"/>
    <x v="139"/>
    <x v="152"/>
  </r>
  <r>
    <x v="475"/>
    <x v="20"/>
    <n v="1"/>
    <x v="0"/>
    <x v="20"/>
    <x v="0"/>
    <x v="6"/>
    <x v="0"/>
    <x v="18"/>
    <x v="23"/>
    <x v="39"/>
    <x v="17"/>
    <x v="5"/>
    <x v="15"/>
    <x v="26"/>
  </r>
  <r>
    <x v="476"/>
    <x v="20"/>
    <n v="1"/>
    <x v="0"/>
    <x v="21"/>
    <x v="0"/>
    <x v="6"/>
    <x v="0"/>
    <x v="19"/>
    <x v="23"/>
    <x v="41"/>
    <x v="8"/>
    <x v="3"/>
    <x v="40"/>
    <x v="102"/>
  </r>
  <r>
    <x v="477"/>
    <x v="20"/>
    <n v="1"/>
    <x v="0"/>
    <x v="22"/>
    <x v="0"/>
    <x v="6"/>
    <x v="0"/>
    <x v="20"/>
    <x v="26"/>
    <x v="48"/>
    <x v="18"/>
    <x v="5"/>
    <x v="39"/>
    <x v="19"/>
  </r>
  <r>
    <x v="478"/>
    <x v="20"/>
    <n v="1"/>
    <x v="0"/>
    <x v="23"/>
    <x v="0"/>
    <x v="6"/>
    <x v="0"/>
    <x v="20"/>
    <x v="27"/>
    <x v="41"/>
    <x v="14"/>
    <x v="3"/>
    <x v="2"/>
    <x v="110"/>
  </r>
  <r>
    <x v="479"/>
    <x v="21"/>
    <n v="1"/>
    <x v="0"/>
    <x v="0"/>
    <x v="0"/>
    <x v="0"/>
    <x v="0"/>
    <x v="21"/>
    <x v="26"/>
    <x v="49"/>
    <x v="7"/>
    <x v="3"/>
    <x v="0"/>
    <x v="3"/>
  </r>
  <r>
    <x v="480"/>
    <x v="21"/>
    <n v="1"/>
    <x v="0"/>
    <x v="1"/>
    <x v="0"/>
    <x v="0"/>
    <x v="1"/>
    <x v="21"/>
    <x v="28"/>
    <x v="48"/>
    <x v="18"/>
    <x v="0"/>
    <x v="33"/>
    <x v="47"/>
  </r>
  <r>
    <x v="481"/>
    <x v="21"/>
    <n v="1"/>
    <x v="0"/>
    <x v="2"/>
    <x v="0"/>
    <x v="0"/>
    <x v="1"/>
    <x v="21"/>
    <x v="26"/>
    <x v="48"/>
    <x v="7"/>
    <x v="3"/>
    <x v="48"/>
    <x v="62"/>
  </r>
  <r>
    <x v="482"/>
    <x v="21"/>
    <n v="1"/>
    <x v="0"/>
    <x v="3"/>
    <x v="0"/>
    <x v="0"/>
    <x v="1"/>
    <x v="21"/>
    <x v="26"/>
    <x v="48"/>
    <x v="8"/>
    <x v="5"/>
    <x v="8"/>
    <x v="85"/>
  </r>
  <r>
    <x v="483"/>
    <x v="21"/>
    <n v="1"/>
    <x v="0"/>
    <x v="4"/>
    <x v="0"/>
    <x v="0"/>
    <x v="1"/>
    <x v="22"/>
    <x v="29"/>
    <x v="37"/>
    <x v="9"/>
    <x v="3"/>
    <x v="35"/>
    <x v="6"/>
  </r>
  <r>
    <x v="484"/>
    <x v="21"/>
    <n v="1"/>
    <x v="0"/>
    <x v="6"/>
    <x v="0"/>
    <x v="0"/>
    <x v="1"/>
    <x v="22"/>
    <x v="26"/>
    <x v="18"/>
    <x v="11"/>
    <x v="3"/>
    <x v="6"/>
    <x v="5"/>
  </r>
  <r>
    <x v="485"/>
    <x v="21"/>
    <n v="1"/>
    <x v="0"/>
    <x v="7"/>
    <x v="0"/>
    <x v="0"/>
    <x v="0"/>
    <x v="22"/>
    <x v="29"/>
    <x v="18"/>
    <x v="8"/>
    <x v="3"/>
    <x v="21"/>
    <x v="7"/>
  </r>
  <r>
    <x v="486"/>
    <x v="21"/>
    <n v="1"/>
    <x v="0"/>
    <x v="8"/>
    <x v="0"/>
    <x v="0"/>
    <x v="0"/>
    <x v="22"/>
    <x v="28"/>
    <x v="18"/>
    <x v="14"/>
    <x v="5"/>
    <x v="16"/>
    <x v="110"/>
  </r>
  <r>
    <x v="487"/>
    <x v="21"/>
    <n v="1"/>
    <x v="0"/>
    <x v="9"/>
    <x v="0"/>
    <x v="0"/>
    <x v="0"/>
    <x v="21"/>
    <x v="26"/>
    <x v="48"/>
    <x v="7"/>
    <x v="0"/>
    <x v="53"/>
    <x v="1"/>
  </r>
  <r>
    <x v="488"/>
    <x v="21"/>
    <n v="1"/>
    <x v="0"/>
    <x v="10"/>
    <x v="0"/>
    <x v="0"/>
    <x v="1"/>
    <x v="21"/>
    <x v="22"/>
    <x v="48"/>
    <x v="13"/>
    <x v="0"/>
    <x v="54"/>
    <x v="26"/>
  </r>
  <r>
    <x v="489"/>
    <x v="21"/>
    <n v="1"/>
    <x v="0"/>
    <x v="11"/>
    <x v="0"/>
    <x v="0"/>
    <x v="1"/>
    <x v="20"/>
    <x v="23"/>
    <x v="41"/>
    <x v="12"/>
    <x v="17"/>
    <x v="79"/>
    <x v="55"/>
  </r>
  <r>
    <x v="490"/>
    <x v="21"/>
    <n v="1"/>
    <x v="0"/>
    <x v="12"/>
    <x v="0"/>
    <x v="0"/>
    <x v="1"/>
    <x v="20"/>
    <x v="15"/>
    <x v="41"/>
    <x v="19"/>
    <x v="22"/>
    <x v="91"/>
    <x v="27"/>
  </r>
  <r>
    <x v="491"/>
    <x v="21"/>
    <n v="1"/>
    <x v="0"/>
    <x v="13"/>
    <x v="0"/>
    <x v="0"/>
    <x v="0"/>
    <x v="19"/>
    <x v="17"/>
    <x v="23"/>
    <x v="50"/>
    <x v="6"/>
    <x v="109"/>
    <x v="11"/>
  </r>
  <r>
    <x v="492"/>
    <x v="21"/>
    <n v="1"/>
    <x v="0"/>
    <x v="14"/>
    <x v="0"/>
    <x v="0"/>
    <x v="0"/>
    <x v="18"/>
    <x v="14"/>
    <x v="39"/>
    <x v="19"/>
    <x v="16"/>
    <x v="27"/>
    <x v="28"/>
  </r>
  <r>
    <x v="493"/>
    <x v="21"/>
    <n v="1"/>
    <x v="0"/>
    <x v="15"/>
    <x v="0"/>
    <x v="0"/>
    <x v="0"/>
    <x v="16"/>
    <x v="20"/>
    <x v="40"/>
    <x v="51"/>
    <x v="22"/>
    <x v="139"/>
    <x v="153"/>
  </r>
  <r>
    <x v="494"/>
    <x v="21"/>
    <n v="1"/>
    <x v="0"/>
    <x v="16"/>
    <x v="0"/>
    <x v="0"/>
    <x v="0"/>
    <x v="16"/>
    <x v="14"/>
    <x v="40"/>
    <x v="10"/>
    <x v="16"/>
    <x v="109"/>
    <x v="56"/>
  </r>
  <r>
    <x v="495"/>
    <x v="21"/>
    <n v="1"/>
    <x v="0"/>
    <x v="17"/>
    <x v="0"/>
    <x v="0"/>
    <x v="0"/>
    <x v="16"/>
    <x v="13"/>
    <x v="40"/>
    <x v="52"/>
    <x v="1"/>
    <x v="79"/>
    <x v="16"/>
  </r>
  <r>
    <x v="496"/>
    <x v="21"/>
    <n v="1"/>
    <x v="0"/>
    <x v="18"/>
    <x v="0"/>
    <x v="0"/>
    <x v="0"/>
    <x v="19"/>
    <x v="24"/>
    <x v="23"/>
    <x v="10"/>
    <x v="3"/>
    <x v="25"/>
    <x v="60"/>
  </r>
  <r>
    <x v="497"/>
    <x v="21"/>
    <n v="1"/>
    <x v="0"/>
    <x v="19"/>
    <x v="0"/>
    <x v="0"/>
    <x v="0"/>
    <x v="19"/>
    <x v="15"/>
    <x v="23"/>
    <x v="12"/>
    <x v="15"/>
    <x v="42"/>
    <x v="29"/>
  </r>
  <r>
    <x v="498"/>
    <x v="21"/>
    <n v="1"/>
    <x v="0"/>
    <x v="20"/>
    <x v="0"/>
    <x v="0"/>
    <x v="0"/>
    <x v="20"/>
    <x v="23"/>
    <x v="49"/>
    <x v="13"/>
    <x v="5"/>
    <x v="100"/>
    <x v="79"/>
  </r>
  <r>
    <x v="499"/>
    <x v="21"/>
    <n v="1"/>
    <x v="0"/>
    <x v="21"/>
    <x v="0"/>
    <x v="0"/>
    <x v="0"/>
    <x v="20"/>
    <x v="15"/>
    <x v="48"/>
    <x v="3"/>
    <x v="3"/>
    <x v="87"/>
    <x v="21"/>
  </r>
  <r>
    <x v="500"/>
    <x v="21"/>
    <n v="1"/>
    <x v="0"/>
    <x v="22"/>
    <x v="0"/>
    <x v="0"/>
    <x v="0"/>
    <x v="20"/>
    <x v="20"/>
    <x v="36"/>
    <x v="53"/>
    <x v="18"/>
    <x v="140"/>
    <x v="33"/>
  </r>
  <r>
    <x v="501"/>
    <x v="21"/>
    <n v="1"/>
    <x v="0"/>
    <x v="23"/>
    <x v="0"/>
    <x v="0"/>
    <x v="0"/>
    <x v="21"/>
    <x v="23"/>
    <x v="14"/>
    <x v="19"/>
    <x v="4"/>
    <x v="17"/>
    <x v="63"/>
  </r>
  <r>
    <x v="502"/>
    <x v="22"/>
    <n v="1"/>
    <x v="0"/>
    <x v="0"/>
    <x v="0"/>
    <x v="1"/>
    <x v="0"/>
    <x v="21"/>
    <x v="23"/>
    <x v="14"/>
    <x v="19"/>
    <x v="4"/>
    <x v="32"/>
    <x v="34"/>
  </r>
  <r>
    <x v="503"/>
    <x v="22"/>
    <n v="1"/>
    <x v="0"/>
    <x v="1"/>
    <x v="0"/>
    <x v="1"/>
    <x v="0"/>
    <x v="21"/>
    <x v="23"/>
    <x v="14"/>
    <x v="19"/>
    <x v="5"/>
    <x v="98"/>
    <x v="3"/>
  </r>
  <r>
    <x v="504"/>
    <x v="22"/>
    <n v="1"/>
    <x v="0"/>
    <x v="2"/>
    <x v="0"/>
    <x v="1"/>
    <x v="0"/>
    <x v="22"/>
    <x v="22"/>
    <x v="51"/>
    <x v="12"/>
    <x v="0"/>
    <x v="89"/>
    <x v="109"/>
  </r>
  <r>
    <x v="505"/>
    <x v="22"/>
    <n v="1"/>
    <x v="0"/>
    <x v="3"/>
    <x v="0"/>
    <x v="1"/>
    <x v="0"/>
    <x v="22"/>
    <x v="22"/>
    <x v="51"/>
    <x v="12"/>
    <x v="5"/>
    <x v="22"/>
    <x v="36"/>
  </r>
  <r>
    <x v="506"/>
    <x v="22"/>
    <n v="1"/>
    <x v="0"/>
    <x v="5"/>
    <x v="0"/>
    <x v="1"/>
    <x v="1"/>
    <x v="21"/>
    <x v="23"/>
    <x v="14"/>
    <x v="19"/>
    <x v="3"/>
    <x v="35"/>
    <x v="6"/>
  </r>
  <r>
    <x v="507"/>
    <x v="22"/>
    <n v="1"/>
    <x v="0"/>
    <x v="6"/>
    <x v="0"/>
    <x v="1"/>
    <x v="1"/>
    <x v="21"/>
    <x v="23"/>
    <x v="14"/>
    <x v="19"/>
    <x v="3"/>
    <x v="4"/>
    <x v="4"/>
  </r>
  <r>
    <x v="508"/>
    <x v="22"/>
    <n v="1"/>
    <x v="0"/>
    <x v="7"/>
    <x v="0"/>
    <x v="1"/>
    <x v="0"/>
    <x v="19"/>
    <x v="15"/>
    <x v="52"/>
    <x v="13"/>
    <x v="5"/>
    <x v="4"/>
    <x v="5"/>
  </r>
  <r>
    <x v="509"/>
    <x v="22"/>
    <n v="1"/>
    <x v="0"/>
    <x v="8"/>
    <x v="0"/>
    <x v="1"/>
    <x v="0"/>
    <x v="20"/>
    <x v="23"/>
    <x v="51"/>
    <x v="13"/>
    <x v="4"/>
    <x v="19"/>
    <x v="75"/>
  </r>
  <r>
    <x v="510"/>
    <x v="22"/>
    <n v="1"/>
    <x v="0"/>
    <x v="9"/>
    <x v="0"/>
    <x v="1"/>
    <x v="0"/>
    <x v="18"/>
    <x v="23"/>
    <x v="47"/>
    <x v="16"/>
    <x v="0"/>
    <x v="18"/>
    <x v="20"/>
  </r>
  <r>
    <x v="511"/>
    <x v="22"/>
    <n v="1"/>
    <x v="0"/>
    <x v="10"/>
    <x v="0"/>
    <x v="1"/>
    <x v="0"/>
    <x v="14"/>
    <x v="15"/>
    <x v="15"/>
    <x v="18"/>
    <x v="18"/>
    <x v="82"/>
    <x v="154"/>
  </r>
  <r>
    <x v="512"/>
    <x v="22"/>
    <n v="1"/>
    <x v="0"/>
    <x v="11"/>
    <x v="0"/>
    <x v="1"/>
    <x v="0"/>
    <x v="14"/>
    <x v="14"/>
    <x v="21"/>
    <x v="11"/>
    <x v="30"/>
    <x v="99"/>
    <x v="111"/>
  </r>
  <r>
    <x v="513"/>
    <x v="22"/>
    <n v="1"/>
    <x v="0"/>
    <x v="12"/>
    <x v="0"/>
    <x v="1"/>
    <x v="0"/>
    <x v="13"/>
    <x v="16"/>
    <x v="38"/>
    <x v="34"/>
    <x v="31"/>
    <x v="50"/>
    <x v="155"/>
  </r>
  <r>
    <x v="514"/>
    <x v="22"/>
    <n v="1"/>
    <x v="0"/>
    <x v="13"/>
    <x v="0"/>
    <x v="1"/>
    <x v="0"/>
    <x v="14"/>
    <x v="15"/>
    <x v="39"/>
    <x v="18"/>
    <x v="6"/>
    <x v="102"/>
    <x v="90"/>
  </r>
  <r>
    <x v="515"/>
    <x v="22"/>
    <n v="1"/>
    <x v="0"/>
    <x v="14"/>
    <x v="0"/>
    <x v="1"/>
    <x v="0"/>
    <x v="13"/>
    <x v="14"/>
    <x v="40"/>
    <x v="16"/>
    <x v="26"/>
    <x v="139"/>
    <x v="14"/>
  </r>
  <r>
    <x v="516"/>
    <x v="22"/>
    <n v="1"/>
    <x v="0"/>
    <x v="15"/>
    <x v="0"/>
    <x v="1"/>
    <x v="0"/>
    <x v="13"/>
    <x v="14"/>
    <x v="40"/>
    <x v="16"/>
    <x v="23"/>
    <x v="27"/>
    <x v="43"/>
  </r>
  <r>
    <x v="517"/>
    <x v="22"/>
    <n v="1"/>
    <x v="0"/>
    <x v="16"/>
    <x v="0"/>
    <x v="1"/>
    <x v="0"/>
    <x v="13"/>
    <x v="14"/>
    <x v="60"/>
    <x v="14"/>
    <x v="14"/>
    <x v="90"/>
    <x v="32"/>
  </r>
  <r>
    <x v="518"/>
    <x v="22"/>
    <n v="1"/>
    <x v="0"/>
    <x v="17"/>
    <x v="0"/>
    <x v="1"/>
    <x v="0"/>
    <x v="14"/>
    <x v="15"/>
    <x v="60"/>
    <x v="18"/>
    <x v="2"/>
    <x v="54"/>
    <x v="97"/>
  </r>
  <r>
    <x v="519"/>
    <x v="22"/>
    <n v="1"/>
    <x v="0"/>
    <x v="18"/>
    <x v="0"/>
    <x v="1"/>
    <x v="0"/>
    <x v="16"/>
    <x v="16"/>
    <x v="24"/>
    <x v="7"/>
    <x v="2"/>
    <x v="100"/>
    <x v="99"/>
  </r>
  <r>
    <x v="520"/>
    <x v="22"/>
    <n v="1"/>
    <x v="0"/>
    <x v="19"/>
    <x v="0"/>
    <x v="1"/>
    <x v="0"/>
    <x v="16"/>
    <x v="16"/>
    <x v="24"/>
    <x v="8"/>
    <x v="2"/>
    <x v="108"/>
    <x v="89"/>
  </r>
  <r>
    <x v="521"/>
    <x v="22"/>
    <n v="1"/>
    <x v="0"/>
    <x v="20"/>
    <x v="0"/>
    <x v="1"/>
    <x v="0"/>
    <x v="18"/>
    <x v="15"/>
    <x v="42"/>
    <x v="7"/>
    <x v="17"/>
    <x v="17"/>
    <x v="17"/>
  </r>
  <r>
    <x v="522"/>
    <x v="22"/>
    <n v="1"/>
    <x v="0"/>
    <x v="21"/>
    <x v="0"/>
    <x v="1"/>
    <x v="0"/>
    <x v="18"/>
    <x v="15"/>
    <x v="42"/>
    <x v="10"/>
    <x v="2"/>
    <x v="32"/>
    <x v="94"/>
  </r>
  <r>
    <x v="523"/>
    <x v="22"/>
    <n v="1"/>
    <x v="0"/>
    <x v="22"/>
    <x v="0"/>
    <x v="1"/>
    <x v="0"/>
    <x v="19"/>
    <x v="24"/>
    <x v="41"/>
    <x v="10"/>
    <x v="2"/>
    <x v="140"/>
    <x v="20"/>
  </r>
  <r>
    <x v="524"/>
    <x v="22"/>
    <n v="1"/>
    <x v="0"/>
    <x v="23"/>
    <x v="0"/>
    <x v="1"/>
    <x v="0"/>
    <x v="20"/>
    <x v="22"/>
    <x v="48"/>
    <x v="11"/>
    <x v="17"/>
    <x v="19"/>
    <x v="137"/>
  </r>
  <r>
    <x v="525"/>
    <x v="23"/>
    <n v="1"/>
    <x v="0"/>
    <x v="0"/>
    <x v="0"/>
    <x v="2"/>
    <x v="0"/>
    <x v="20"/>
    <x v="22"/>
    <x v="48"/>
    <x v="10"/>
    <x v="3"/>
    <x v="7"/>
    <x v="85"/>
  </r>
  <r>
    <x v="526"/>
    <x v="23"/>
    <n v="1"/>
    <x v="0"/>
    <x v="1"/>
    <x v="0"/>
    <x v="2"/>
    <x v="0"/>
    <x v="21"/>
    <x v="27"/>
    <x v="49"/>
    <x v="10"/>
    <x v="3"/>
    <x v="4"/>
    <x v="4"/>
  </r>
  <r>
    <x v="527"/>
    <x v="23"/>
    <n v="1"/>
    <x v="0"/>
    <x v="3"/>
    <x v="0"/>
    <x v="2"/>
    <x v="0"/>
    <x v="21"/>
    <x v="26"/>
    <x v="49"/>
    <x v="7"/>
    <x v="3"/>
    <x v="4"/>
    <x v="4"/>
  </r>
  <r>
    <x v="528"/>
    <x v="23"/>
    <n v="1"/>
    <x v="0"/>
    <x v="4"/>
    <x v="0"/>
    <x v="2"/>
    <x v="0"/>
    <x v="22"/>
    <x v="22"/>
    <x v="37"/>
    <x v="12"/>
    <x v="3"/>
    <x v="4"/>
    <x v="4"/>
  </r>
  <r>
    <x v="529"/>
    <x v="23"/>
    <n v="1"/>
    <x v="0"/>
    <x v="5"/>
    <x v="0"/>
    <x v="2"/>
    <x v="0"/>
    <x v="22"/>
    <x v="22"/>
    <x v="37"/>
    <x v="12"/>
    <x v="3"/>
    <x v="34"/>
    <x v="36"/>
  </r>
  <r>
    <x v="530"/>
    <x v="23"/>
    <n v="1"/>
    <x v="0"/>
    <x v="6"/>
    <x v="0"/>
    <x v="2"/>
    <x v="0"/>
    <x v="22"/>
    <x v="23"/>
    <x v="37"/>
    <x v="3"/>
    <x v="3"/>
    <x v="89"/>
    <x v="93"/>
  </r>
  <r>
    <x v="531"/>
    <x v="23"/>
    <n v="1"/>
    <x v="0"/>
    <x v="7"/>
    <x v="0"/>
    <x v="2"/>
    <x v="0"/>
    <x v="22"/>
    <x v="16"/>
    <x v="37"/>
    <x v="54"/>
    <x v="2"/>
    <x v="55"/>
    <x v="11"/>
  </r>
  <r>
    <x v="532"/>
    <x v="23"/>
    <n v="1"/>
    <x v="0"/>
    <x v="8"/>
    <x v="0"/>
    <x v="2"/>
    <x v="0"/>
    <x v="21"/>
    <x v="14"/>
    <x v="36"/>
    <x v="55"/>
    <x v="15"/>
    <x v="141"/>
    <x v="156"/>
  </r>
  <r>
    <x v="533"/>
    <x v="23"/>
    <n v="1"/>
    <x v="0"/>
    <x v="9"/>
    <x v="0"/>
    <x v="2"/>
    <x v="0"/>
    <x v="20"/>
    <x v="20"/>
    <x v="48"/>
    <x v="56"/>
    <x v="17"/>
    <x v="52"/>
    <x v="96"/>
  </r>
  <r>
    <x v="534"/>
    <x v="23"/>
    <n v="1"/>
    <x v="0"/>
    <x v="10"/>
    <x v="0"/>
    <x v="2"/>
    <x v="0"/>
    <x v="18"/>
    <x v="14"/>
    <x v="16"/>
    <x v="57"/>
    <x v="15"/>
    <x v="60"/>
    <x v="1"/>
  </r>
  <r>
    <x v="535"/>
    <x v="23"/>
    <n v="1"/>
    <x v="0"/>
    <x v="11"/>
    <x v="0"/>
    <x v="2"/>
    <x v="0"/>
    <x v="18"/>
    <x v="16"/>
    <x v="15"/>
    <x v="12"/>
    <x v="0"/>
    <x v="30"/>
    <x v="66"/>
  </r>
  <r>
    <x v="536"/>
    <x v="23"/>
    <n v="1"/>
    <x v="0"/>
    <x v="12"/>
    <x v="0"/>
    <x v="2"/>
    <x v="1"/>
    <x v="16"/>
    <x v="14"/>
    <x v="16"/>
    <x v="10"/>
    <x v="16"/>
    <x v="15"/>
    <x v="55"/>
  </r>
  <r>
    <x v="537"/>
    <x v="23"/>
    <n v="1"/>
    <x v="0"/>
    <x v="13"/>
    <x v="0"/>
    <x v="2"/>
    <x v="1"/>
    <x v="14"/>
    <x v="14"/>
    <x v="21"/>
    <x v="11"/>
    <x v="15"/>
    <x v="25"/>
    <x v="122"/>
  </r>
  <r>
    <x v="538"/>
    <x v="23"/>
    <n v="1"/>
    <x v="0"/>
    <x v="14"/>
    <x v="0"/>
    <x v="2"/>
    <x v="1"/>
    <x v="14"/>
    <x v="14"/>
    <x v="15"/>
    <x v="11"/>
    <x v="4"/>
    <x v="30"/>
    <x v="79"/>
  </r>
  <r>
    <x v="539"/>
    <x v="23"/>
    <n v="1"/>
    <x v="0"/>
    <x v="15"/>
    <x v="0"/>
    <x v="2"/>
    <x v="0"/>
    <x v="13"/>
    <x v="17"/>
    <x v="22"/>
    <x v="13"/>
    <x v="18"/>
    <x v="54"/>
    <x v="52"/>
  </r>
  <r>
    <x v="540"/>
    <x v="23"/>
    <n v="1"/>
    <x v="0"/>
    <x v="16"/>
    <x v="0"/>
    <x v="2"/>
    <x v="0"/>
    <x v="13"/>
    <x v="20"/>
    <x v="19"/>
    <x v="7"/>
    <x v="17"/>
    <x v="43"/>
    <x v="27"/>
  </r>
  <r>
    <x v="541"/>
    <x v="23"/>
    <n v="1"/>
    <x v="0"/>
    <x v="17"/>
    <x v="0"/>
    <x v="2"/>
    <x v="0"/>
    <x v="14"/>
    <x v="16"/>
    <x v="20"/>
    <x v="7"/>
    <x v="15"/>
    <x v="86"/>
    <x v="157"/>
  </r>
  <r>
    <x v="542"/>
    <x v="23"/>
    <n v="1"/>
    <x v="0"/>
    <x v="18"/>
    <x v="0"/>
    <x v="2"/>
    <x v="0"/>
    <x v="14"/>
    <x v="14"/>
    <x v="29"/>
    <x v="10"/>
    <x v="1"/>
    <x v="142"/>
    <x v="158"/>
  </r>
  <r>
    <x v="543"/>
    <x v="23"/>
    <n v="1"/>
    <x v="0"/>
    <x v="19"/>
    <x v="0"/>
    <x v="2"/>
    <x v="0"/>
    <x v="14"/>
    <x v="20"/>
    <x v="47"/>
    <x v="13"/>
    <x v="2"/>
    <x v="143"/>
    <x v="13"/>
  </r>
  <r>
    <x v="544"/>
    <x v="23"/>
    <n v="1"/>
    <x v="0"/>
    <x v="20"/>
    <x v="0"/>
    <x v="2"/>
    <x v="0"/>
    <x v="14"/>
    <x v="14"/>
    <x v="29"/>
    <x v="10"/>
    <x v="5"/>
    <x v="122"/>
    <x v="117"/>
  </r>
  <r>
    <x v="545"/>
    <x v="23"/>
    <n v="1"/>
    <x v="0"/>
    <x v="21"/>
    <x v="0"/>
    <x v="2"/>
    <x v="0"/>
    <x v="14"/>
    <x v="20"/>
    <x v="30"/>
    <x v="13"/>
    <x v="15"/>
    <x v="42"/>
    <x v="29"/>
  </r>
  <r>
    <x v="546"/>
    <x v="23"/>
    <n v="1"/>
    <x v="0"/>
    <x v="22"/>
    <x v="0"/>
    <x v="2"/>
    <x v="1"/>
    <x v="14"/>
    <x v="14"/>
    <x v="30"/>
    <x v="11"/>
    <x v="0"/>
    <x v="1"/>
    <x v="17"/>
  </r>
  <r>
    <x v="547"/>
    <x v="23"/>
    <n v="1"/>
    <x v="0"/>
    <x v="23"/>
    <x v="0"/>
    <x v="2"/>
    <x v="1"/>
    <x v="13"/>
    <x v="20"/>
    <x v="26"/>
    <x v="7"/>
    <x v="0"/>
    <x v="144"/>
    <x v="108"/>
  </r>
  <r>
    <x v="548"/>
    <x v="24"/>
    <n v="1"/>
    <x v="0"/>
    <x v="0"/>
    <x v="0"/>
    <x v="3"/>
    <x v="1"/>
    <x v="13"/>
    <x v="14"/>
    <x v="27"/>
    <x v="8"/>
    <x v="0"/>
    <x v="8"/>
    <x v="23"/>
  </r>
  <r>
    <x v="549"/>
    <x v="24"/>
    <n v="1"/>
    <x v="0"/>
    <x v="1"/>
    <x v="0"/>
    <x v="3"/>
    <x v="1"/>
    <x v="13"/>
    <x v="17"/>
    <x v="27"/>
    <x v="13"/>
    <x v="3"/>
    <x v="34"/>
    <x v="36"/>
  </r>
  <r>
    <x v="550"/>
    <x v="24"/>
    <n v="1"/>
    <x v="0"/>
    <x v="2"/>
    <x v="0"/>
    <x v="3"/>
    <x v="0"/>
    <x v="13"/>
    <x v="20"/>
    <x v="27"/>
    <x v="11"/>
    <x v="3"/>
    <x v="6"/>
    <x v="5"/>
  </r>
  <r>
    <x v="551"/>
    <x v="24"/>
    <n v="1"/>
    <x v="0"/>
    <x v="4"/>
    <x v="0"/>
    <x v="3"/>
    <x v="0"/>
    <x v="14"/>
    <x v="17"/>
    <x v="32"/>
    <x v="19"/>
    <x v="3"/>
    <x v="4"/>
    <x v="4"/>
  </r>
  <r>
    <x v="552"/>
    <x v="24"/>
    <n v="1"/>
    <x v="0"/>
    <x v="5"/>
    <x v="0"/>
    <x v="3"/>
    <x v="0"/>
    <x v="14"/>
    <x v="14"/>
    <x v="32"/>
    <x v="11"/>
    <x v="3"/>
    <x v="33"/>
    <x v="23"/>
  </r>
  <r>
    <x v="553"/>
    <x v="24"/>
    <n v="1"/>
    <x v="0"/>
    <x v="6"/>
    <x v="0"/>
    <x v="3"/>
    <x v="0"/>
    <x v="13"/>
    <x v="18"/>
    <x v="32"/>
    <x v="19"/>
    <x v="5"/>
    <x v="96"/>
    <x v="9"/>
  </r>
  <r>
    <x v="554"/>
    <x v="24"/>
    <n v="1"/>
    <x v="0"/>
    <x v="7"/>
    <x v="0"/>
    <x v="3"/>
    <x v="0"/>
    <x v="13"/>
    <x v="20"/>
    <x v="32"/>
    <x v="11"/>
    <x v="2"/>
    <x v="145"/>
    <x v="159"/>
  </r>
  <r>
    <x v="555"/>
    <x v="24"/>
    <n v="1"/>
    <x v="0"/>
    <x v="8"/>
    <x v="0"/>
    <x v="3"/>
    <x v="1"/>
    <x v="13"/>
    <x v="18"/>
    <x v="32"/>
    <x v="12"/>
    <x v="2"/>
    <x v="146"/>
    <x v="160"/>
  </r>
  <r>
    <x v="556"/>
    <x v="24"/>
    <n v="1"/>
    <x v="0"/>
    <x v="9"/>
    <x v="0"/>
    <x v="3"/>
    <x v="1"/>
    <x v="2"/>
    <x v="11"/>
    <x v="26"/>
    <x v="3"/>
    <x v="22"/>
    <x v="120"/>
    <x v="124"/>
  </r>
  <r>
    <x v="557"/>
    <x v="24"/>
    <n v="1"/>
    <x v="0"/>
    <x v="10"/>
    <x v="0"/>
    <x v="3"/>
    <x v="1"/>
    <x v="1"/>
    <x v="19"/>
    <x v="54"/>
    <x v="19"/>
    <x v="15"/>
    <x v="47"/>
    <x v="97"/>
  </r>
  <r>
    <x v="558"/>
    <x v="24"/>
    <n v="1"/>
    <x v="0"/>
    <x v="11"/>
    <x v="0"/>
    <x v="3"/>
    <x v="1"/>
    <x v="0"/>
    <x v="19"/>
    <x v="54"/>
    <x v="12"/>
    <x v="15"/>
    <x v="11"/>
    <x v="42"/>
  </r>
  <r>
    <x v="559"/>
    <x v="24"/>
    <n v="1"/>
    <x v="0"/>
    <x v="12"/>
    <x v="0"/>
    <x v="3"/>
    <x v="1"/>
    <x v="12"/>
    <x v="0"/>
    <x v="34"/>
    <x v="3"/>
    <x v="27"/>
    <x v="66"/>
    <x v="13"/>
  </r>
  <r>
    <x v="560"/>
    <x v="24"/>
    <n v="1"/>
    <x v="0"/>
    <x v="13"/>
    <x v="0"/>
    <x v="3"/>
    <x v="1"/>
    <x v="12"/>
    <x v="1"/>
    <x v="34"/>
    <x v="12"/>
    <x v="27"/>
    <x v="109"/>
    <x v="15"/>
  </r>
  <r>
    <x v="561"/>
    <x v="24"/>
    <n v="1"/>
    <x v="0"/>
    <x v="14"/>
    <x v="0"/>
    <x v="3"/>
    <x v="1"/>
    <x v="11"/>
    <x v="6"/>
    <x v="49"/>
    <x v="58"/>
    <x v="16"/>
    <x v="77"/>
    <x v="118"/>
  </r>
  <r>
    <x v="562"/>
    <x v="24"/>
    <n v="1"/>
    <x v="0"/>
    <x v="15"/>
    <x v="0"/>
    <x v="3"/>
    <x v="1"/>
    <x v="3"/>
    <x v="4"/>
    <x v="16"/>
    <x v="59"/>
    <x v="27"/>
    <x v="36"/>
    <x v="11"/>
  </r>
  <r>
    <x v="563"/>
    <x v="24"/>
    <n v="1"/>
    <x v="0"/>
    <x v="16"/>
    <x v="0"/>
    <x v="3"/>
    <x v="1"/>
    <x v="3"/>
    <x v="4"/>
    <x v="16"/>
    <x v="59"/>
    <x v="24"/>
    <x v="46"/>
    <x v="155"/>
  </r>
  <r>
    <x v="564"/>
    <x v="24"/>
    <n v="1"/>
    <x v="0"/>
    <x v="17"/>
    <x v="0"/>
    <x v="3"/>
    <x v="0"/>
    <x v="11"/>
    <x v="6"/>
    <x v="49"/>
    <x v="58"/>
    <x v="24"/>
    <x v="147"/>
    <x v="161"/>
  </r>
  <r>
    <x v="565"/>
    <x v="24"/>
    <n v="1"/>
    <x v="0"/>
    <x v="18"/>
    <x v="0"/>
    <x v="3"/>
    <x v="1"/>
    <x v="11"/>
    <x v="21"/>
    <x v="36"/>
    <x v="3"/>
    <x v="18"/>
    <x v="148"/>
    <x v="162"/>
  </r>
  <r>
    <x v="566"/>
    <x v="24"/>
    <n v="1"/>
    <x v="0"/>
    <x v="19"/>
    <x v="0"/>
    <x v="3"/>
    <x v="1"/>
    <x v="12"/>
    <x v="2"/>
    <x v="55"/>
    <x v="13"/>
    <x v="23"/>
    <x v="149"/>
    <x v="163"/>
  </r>
  <r>
    <x v="567"/>
    <x v="24"/>
    <n v="1"/>
    <x v="0"/>
    <x v="20"/>
    <x v="0"/>
    <x v="3"/>
    <x v="0"/>
    <x v="0"/>
    <x v="11"/>
    <x v="55"/>
    <x v="10"/>
    <x v="19"/>
    <x v="145"/>
    <x v="164"/>
  </r>
  <r>
    <x v="568"/>
    <x v="24"/>
    <n v="1"/>
    <x v="0"/>
    <x v="21"/>
    <x v="0"/>
    <x v="3"/>
    <x v="0"/>
    <x v="0"/>
    <x v="11"/>
    <x v="55"/>
    <x v="10"/>
    <x v="2"/>
    <x v="71"/>
    <x v="79"/>
  </r>
  <r>
    <x v="569"/>
    <x v="24"/>
    <n v="1"/>
    <x v="0"/>
    <x v="22"/>
    <x v="0"/>
    <x v="3"/>
    <x v="0"/>
    <x v="1"/>
    <x v="11"/>
    <x v="26"/>
    <x v="13"/>
    <x v="17"/>
    <x v="47"/>
    <x v="26"/>
  </r>
  <r>
    <x v="570"/>
    <x v="24"/>
    <n v="1"/>
    <x v="0"/>
    <x v="23"/>
    <x v="0"/>
    <x v="3"/>
    <x v="1"/>
    <x v="1"/>
    <x v="11"/>
    <x v="26"/>
    <x v="13"/>
    <x v="0"/>
    <x v="53"/>
    <x v="1"/>
  </r>
  <r>
    <x v="571"/>
    <x v="25"/>
    <n v="1"/>
    <x v="0"/>
    <x v="0"/>
    <x v="0"/>
    <x v="4"/>
    <x v="1"/>
    <x v="1"/>
    <x v="11"/>
    <x v="27"/>
    <x v="12"/>
    <x v="0"/>
    <x v="88"/>
    <x v="22"/>
  </r>
  <r>
    <x v="572"/>
    <x v="25"/>
    <n v="1"/>
    <x v="0"/>
    <x v="1"/>
    <x v="0"/>
    <x v="4"/>
    <x v="1"/>
    <x v="0"/>
    <x v="19"/>
    <x v="55"/>
    <x v="12"/>
    <x v="3"/>
    <x v="34"/>
    <x v="36"/>
  </r>
  <r>
    <x v="573"/>
    <x v="25"/>
    <n v="1"/>
    <x v="0"/>
    <x v="2"/>
    <x v="0"/>
    <x v="4"/>
    <x v="2"/>
    <x v="1"/>
    <x v="11"/>
    <x v="27"/>
    <x v="10"/>
    <x v="0"/>
    <x v="7"/>
    <x v="98"/>
  </r>
  <r>
    <x v="574"/>
    <x v="25"/>
    <n v="1"/>
    <x v="0"/>
    <x v="5"/>
    <x v="0"/>
    <x v="4"/>
    <x v="2"/>
    <x v="2"/>
    <x v="18"/>
    <x v="3"/>
    <x v="8"/>
    <x v="3"/>
    <x v="4"/>
    <x v="4"/>
  </r>
  <r>
    <x v="575"/>
    <x v="25"/>
    <n v="1"/>
    <x v="0"/>
    <x v="6"/>
    <x v="0"/>
    <x v="4"/>
    <x v="2"/>
    <x v="2"/>
    <x v="18"/>
    <x v="3"/>
    <x v="8"/>
    <x v="3"/>
    <x v="21"/>
    <x v="7"/>
  </r>
  <r>
    <x v="576"/>
    <x v="25"/>
    <n v="1"/>
    <x v="0"/>
    <x v="7"/>
    <x v="0"/>
    <x v="4"/>
    <x v="2"/>
    <x v="1"/>
    <x v="12"/>
    <x v="9"/>
    <x v="9"/>
    <x v="5"/>
    <x v="31"/>
    <x v="33"/>
  </r>
  <r>
    <x v="577"/>
    <x v="25"/>
    <n v="1"/>
    <x v="0"/>
    <x v="8"/>
    <x v="0"/>
    <x v="4"/>
    <x v="2"/>
    <x v="1"/>
    <x v="12"/>
    <x v="9"/>
    <x v="9"/>
    <x v="0"/>
    <x v="94"/>
    <x v="44"/>
  </r>
  <r>
    <x v="578"/>
    <x v="25"/>
    <n v="1"/>
    <x v="0"/>
    <x v="9"/>
    <x v="0"/>
    <x v="4"/>
    <x v="2"/>
    <x v="1"/>
    <x v="12"/>
    <x v="9"/>
    <x v="9"/>
    <x v="0"/>
    <x v="11"/>
    <x v="154"/>
  </r>
  <r>
    <x v="579"/>
    <x v="25"/>
    <n v="1"/>
    <x v="0"/>
    <x v="10"/>
    <x v="0"/>
    <x v="4"/>
    <x v="2"/>
    <x v="1"/>
    <x v="12"/>
    <x v="43"/>
    <x v="8"/>
    <x v="4"/>
    <x v="16"/>
    <x v="20"/>
  </r>
  <r>
    <x v="580"/>
    <x v="25"/>
    <n v="1"/>
    <x v="0"/>
    <x v="11"/>
    <x v="0"/>
    <x v="4"/>
    <x v="2"/>
    <x v="1"/>
    <x v="13"/>
    <x v="43"/>
    <x v="14"/>
    <x v="15"/>
    <x v="96"/>
    <x v="102"/>
  </r>
  <r>
    <x v="581"/>
    <x v="25"/>
    <n v="1"/>
    <x v="0"/>
    <x v="12"/>
    <x v="0"/>
    <x v="4"/>
    <x v="2"/>
    <x v="1"/>
    <x v="13"/>
    <x v="43"/>
    <x v="14"/>
    <x v="18"/>
    <x v="40"/>
    <x v="61"/>
  </r>
  <r>
    <x v="582"/>
    <x v="25"/>
    <n v="1"/>
    <x v="0"/>
    <x v="13"/>
    <x v="0"/>
    <x v="4"/>
    <x v="2"/>
    <x v="1"/>
    <x v="13"/>
    <x v="43"/>
    <x v="14"/>
    <x v="17"/>
    <x v="30"/>
    <x v="105"/>
  </r>
  <r>
    <x v="583"/>
    <x v="25"/>
    <n v="1"/>
    <x v="0"/>
    <x v="14"/>
    <x v="0"/>
    <x v="4"/>
    <x v="2"/>
    <x v="1"/>
    <x v="13"/>
    <x v="43"/>
    <x v="16"/>
    <x v="3"/>
    <x v="49"/>
    <x v="9"/>
  </r>
  <r>
    <x v="584"/>
    <x v="25"/>
    <n v="1"/>
    <x v="0"/>
    <x v="15"/>
    <x v="0"/>
    <x v="4"/>
    <x v="2"/>
    <x v="1"/>
    <x v="18"/>
    <x v="43"/>
    <x v="34"/>
    <x v="5"/>
    <x v="76"/>
    <x v="74"/>
  </r>
  <r>
    <x v="585"/>
    <x v="25"/>
    <n v="1"/>
    <x v="0"/>
    <x v="16"/>
    <x v="0"/>
    <x v="4"/>
    <x v="3"/>
    <x v="1"/>
    <x v="13"/>
    <x v="43"/>
    <x v="14"/>
    <x v="5"/>
    <x v="96"/>
    <x v="9"/>
  </r>
  <r>
    <x v="586"/>
    <x v="25"/>
    <n v="1"/>
    <x v="0"/>
    <x v="17"/>
    <x v="0"/>
    <x v="4"/>
    <x v="2"/>
    <x v="2"/>
    <x v="18"/>
    <x v="43"/>
    <x v="16"/>
    <x v="3"/>
    <x v="16"/>
    <x v="132"/>
  </r>
  <r>
    <x v="587"/>
    <x v="26"/>
    <n v="1"/>
    <x v="0"/>
    <x v="16"/>
    <x v="0"/>
    <x v="5"/>
    <x v="0"/>
    <x v="1"/>
    <x v="11"/>
    <x v="28"/>
    <x v="10"/>
    <x v="5"/>
    <x v="140"/>
    <x v="108"/>
  </r>
  <r>
    <x v="588"/>
    <x v="26"/>
    <n v="1"/>
    <x v="0"/>
    <x v="17"/>
    <x v="0"/>
    <x v="5"/>
    <x v="0"/>
    <x v="1"/>
    <x v="19"/>
    <x v="28"/>
    <x v="19"/>
    <x v="4"/>
    <x v="70"/>
    <x v="11"/>
  </r>
  <r>
    <x v="589"/>
    <x v="26"/>
    <n v="1"/>
    <x v="0"/>
    <x v="18"/>
    <x v="0"/>
    <x v="5"/>
    <x v="0"/>
    <x v="2"/>
    <x v="11"/>
    <x v="27"/>
    <x v="3"/>
    <x v="0"/>
    <x v="143"/>
    <x v="133"/>
  </r>
  <r>
    <x v="590"/>
    <x v="26"/>
    <n v="1"/>
    <x v="0"/>
    <x v="19"/>
    <x v="0"/>
    <x v="5"/>
    <x v="0"/>
    <x v="2"/>
    <x v="11"/>
    <x v="27"/>
    <x v="3"/>
    <x v="0"/>
    <x v="83"/>
    <x v="67"/>
  </r>
  <r>
    <x v="591"/>
    <x v="26"/>
    <n v="1"/>
    <x v="0"/>
    <x v="20"/>
    <x v="0"/>
    <x v="5"/>
    <x v="0"/>
    <x v="15"/>
    <x v="12"/>
    <x v="32"/>
    <x v="3"/>
    <x v="17"/>
    <x v="11"/>
    <x v="29"/>
  </r>
  <r>
    <x v="592"/>
    <x v="26"/>
    <n v="1"/>
    <x v="0"/>
    <x v="21"/>
    <x v="0"/>
    <x v="5"/>
    <x v="0"/>
    <x v="15"/>
    <x v="12"/>
    <x v="32"/>
    <x v="3"/>
    <x v="4"/>
    <x v="49"/>
    <x v="103"/>
  </r>
  <r>
    <x v="593"/>
    <x v="26"/>
    <n v="1"/>
    <x v="0"/>
    <x v="22"/>
    <x v="0"/>
    <x v="5"/>
    <x v="0"/>
    <x v="15"/>
    <x v="12"/>
    <x v="32"/>
    <x v="3"/>
    <x v="3"/>
    <x v="2"/>
    <x v="110"/>
  </r>
  <r>
    <x v="594"/>
    <x v="26"/>
    <n v="1"/>
    <x v="0"/>
    <x v="23"/>
    <x v="0"/>
    <x v="5"/>
    <x v="0"/>
    <x v="15"/>
    <x v="13"/>
    <x v="1"/>
    <x v="13"/>
    <x v="3"/>
    <x v="20"/>
    <x v="0"/>
  </r>
  <r>
    <x v="595"/>
    <x v="27"/>
    <n v="1"/>
    <x v="0"/>
    <x v="0"/>
    <x v="0"/>
    <x v="6"/>
    <x v="1"/>
    <x v="2"/>
    <x v="12"/>
    <x v="2"/>
    <x v="12"/>
    <x v="3"/>
    <x v="33"/>
    <x v="23"/>
  </r>
  <r>
    <x v="596"/>
    <x v="27"/>
    <n v="1"/>
    <x v="0"/>
    <x v="1"/>
    <x v="0"/>
    <x v="6"/>
    <x v="1"/>
    <x v="2"/>
    <x v="12"/>
    <x v="2"/>
    <x v="12"/>
    <x v="5"/>
    <x v="6"/>
    <x v="6"/>
  </r>
  <r>
    <x v="597"/>
    <x v="27"/>
    <n v="1"/>
    <x v="0"/>
    <x v="2"/>
    <x v="0"/>
    <x v="6"/>
    <x v="1"/>
    <x v="2"/>
    <x v="12"/>
    <x v="2"/>
    <x v="13"/>
    <x v="3"/>
    <x v="6"/>
    <x v="5"/>
  </r>
  <r>
    <x v="598"/>
    <x v="27"/>
    <n v="1"/>
    <x v="0"/>
    <x v="3"/>
    <x v="0"/>
    <x v="6"/>
    <x v="1"/>
    <x v="2"/>
    <x v="11"/>
    <x v="2"/>
    <x v="19"/>
    <x v="5"/>
    <x v="5"/>
    <x v="4"/>
  </r>
  <r>
    <x v="599"/>
    <x v="27"/>
    <n v="1"/>
    <x v="0"/>
    <x v="5"/>
    <x v="0"/>
    <x v="6"/>
    <x v="1"/>
    <x v="15"/>
    <x v="12"/>
    <x v="1"/>
    <x v="19"/>
    <x v="3"/>
    <x v="22"/>
    <x v="48"/>
  </r>
  <r>
    <x v="600"/>
    <x v="27"/>
    <n v="1"/>
    <x v="0"/>
    <x v="6"/>
    <x v="0"/>
    <x v="6"/>
    <x v="1"/>
    <x v="15"/>
    <x v="13"/>
    <x v="1"/>
    <x v="12"/>
    <x v="3"/>
    <x v="20"/>
    <x v="0"/>
  </r>
  <r>
    <x v="601"/>
    <x v="27"/>
    <n v="1"/>
    <x v="0"/>
    <x v="7"/>
    <x v="0"/>
    <x v="6"/>
    <x v="1"/>
    <x v="13"/>
    <x v="13"/>
    <x v="3"/>
    <x v="3"/>
    <x v="4"/>
    <x v="29"/>
    <x v="122"/>
  </r>
  <r>
    <x v="602"/>
    <x v="27"/>
    <n v="1"/>
    <x v="0"/>
    <x v="8"/>
    <x v="0"/>
    <x v="6"/>
    <x v="1"/>
    <x v="13"/>
    <x v="13"/>
    <x v="3"/>
    <x v="3"/>
    <x v="4"/>
    <x v="119"/>
    <x v="45"/>
  </r>
  <r>
    <x v="603"/>
    <x v="27"/>
    <n v="1"/>
    <x v="0"/>
    <x v="9"/>
    <x v="0"/>
    <x v="6"/>
    <x v="2"/>
    <x v="15"/>
    <x v="12"/>
    <x v="3"/>
    <x v="3"/>
    <x v="15"/>
    <x v="73"/>
    <x v="129"/>
  </r>
  <r>
    <x v="604"/>
    <x v="27"/>
    <n v="1"/>
    <x v="0"/>
    <x v="10"/>
    <x v="0"/>
    <x v="6"/>
    <x v="2"/>
    <x v="15"/>
    <x v="12"/>
    <x v="3"/>
    <x v="19"/>
    <x v="3"/>
    <x v="47"/>
    <x v="99"/>
  </r>
  <r>
    <x v="605"/>
    <x v="27"/>
    <n v="1"/>
    <x v="0"/>
    <x v="11"/>
    <x v="0"/>
    <x v="6"/>
    <x v="2"/>
    <x v="15"/>
    <x v="12"/>
    <x v="43"/>
    <x v="19"/>
    <x v="3"/>
    <x v="10"/>
    <x v="33"/>
  </r>
  <r>
    <x v="606"/>
    <x v="27"/>
    <n v="1"/>
    <x v="0"/>
    <x v="12"/>
    <x v="0"/>
    <x v="6"/>
    <x v="2"/>
    <x v="15"/>
    <x v="12"/>
    <x v="43"/>
    <x v="19"/>
    <x v="5"/>
    <x v="95"/>
    <x v="115"/>
  </r>
  <r>
    <x v="607"/>
    <x v="27"/>
    <n v="1"/>
    <x v="0"/>
    <x v="13"/>
    <x v="0"/>
    <x v="6"/>
    <x v="2"/>
    <x v="15"/>
    <x v="12"/>
    <x v="43"/>
    <x v="19"/>
    <x v="3"/>
    <x v="17"/>
    <x v="35"/>
  </r>
  <r>
    <x v="608"/>
    <x v="27"/>
    <n v="1"/>
    <x v="0"/>
    <x v="14"/>
    <x v="0"/>
    <x v="6"/>
    <x v="2"/>
    <x v="1"/>
    <x v="1"/>
    <x v="1"/>
    <x v="1"/>
    <x v="4"/>
    <x v="49"/>
    <x v="103"/>
  </r>
  <r>
    <x v="609"/>
    <x v="27"/>
    <n v="1"/>
    <x v="0"/>
    <x v="15"/>
    <x v="0"/>
    <x v="6"/>
    <x v="1"/>
    <x v="2"/>
    <x v="2"/>
    <x v="3"/>
    <x v="4"/>
    <x v="5"/>
    <x v="71"/>
    <x v="102"/>
  </r>
  <r>
    <x v="610"/>
    <x v="27"/>
    <n v="1"/>
    <x v="0"/>
    <x v="16"/>
    <x v="0"/>
    <x v="6"/>
    <x v="0"/>
    <x v="1"/>
    <x v="1"/>
    <x v="1"/>
    <x v="1"/>
    <x v="22"/>
    <x v="14"/>
    <x v="138"/>
  </r>
  <r>
    <x v="611"/>
    <x v="27"/>
    <n v="1"/>
    <x v="0"/>
    <x v="17"/>
    <x v="0"/>
    <x v="6"/>
    <x v="0"/>
    <x v="0"/>
    <x v="19"/>
    <x v="2"/>
    <x v="12"/>
    <x v="4"/>
    <x v="150"/>
    <x v="165"/>
  </r>
  <r>
    <x v="612"/>
    <x v="27"/>
    <n v="1"/>
    <x v="0"/>
    <x v="18"/>
    <x v="0"/>
    <x v="6"/>
    <x v="0"/>
    <x v="0"/>
    <x v="11"/>
    <x v="2"/>
    <x v="10"/>
    <x v="4"/>
    <x v="128"/>
    <x v="142"/>
  </r>
  <r>
    <x v="613"/>
    <x v="27"/>
    <n v="1"/>
    <x v="0"/>
    <x v="19"/>
    <x v="0"/>
    <x v="6"/>
    <x v="1"/>
    <x v="0"/>
    <x v="19"/>
    <x v="2"/>
    <x v="12"/>
    <x v="2"/>
    <x v="151"/>
    <x v="70"/>
  </r>
  <r>
    <x v="614"/>
    <x v="27"/>
    <n v="1"/>
    <x v="0"/>
    <x v="20"/>
    <x v="0"/>
    <x v="6"/>
    <x v="1"/>
    <x v="0"/>
    <x v="11"/>
    <x v="56"/>
    <x v="10"/>
    <x v="5"/>
    <x v="124"/>
    <x v="69"/>
  </r>
  <r>
    <x v="615"/>
    <x v="27"/>
    <n v="1"/>
    <x v="0"/>
    <x v="21"/>
    <x v="0"/>
    <x v="6"/>
    <x v="1"/>
    <x v="1"/>
    <x v="11"/>
    <x v="2"/>
    <x v="12"/>
    <x v="5"/>
    <x v="77"/>
    <x v="154"/>
  </r>
  <r>
    <x v="616"/>
    <x v="27"/>
    <n v="1"/>
    <x v="0"/>
    <x v="22"/>
    <x v="0"/>
    <x v="6"/>
    <x v="0"/>
    <x v="0"/>
    <x v="12"/>
    <x v="55"/>
    <x v="16"/>
    <x v="3"/>
    <x v="16"/>
    <x v="132"/>
  </r>
  <r>
    <x v="617"/>
    <x v="27"/>
    <n v="1"/>
    <x v="0"/>
    <x v="23"/>
    <x v="0"/>
    <x v="6"/>
    <x v="0"/>
    <x v="0"/>
    <x v="11"/>
    <x v="54"/>
    <x v="11"/>
    <x v="5"/>
    <x v="97"/>
    <x v="84"/>
  </r>
  <r>
    <x v="618"/>
    <x v="28"/>
    <n v="1"/>
    <x v="0"/>
    <x v="0"/>
    <x v="0"/>
    <x v="0"/>
    <x v="0"/>
    <x v="1"/>
    <x v="13"/>
    <x v="26"/>
    <x v="16"/>
    <x v="4"/>
    <x v="16"/>
    <x v="20"/>
  </r>
  <r>
    <x v="619"/>
    <x v="28"/>
    <n v="1"/>
    <x v="0"/>
    <x v="1"/>
    <x v="0"/>
    <x v="0"/>
    <x v="0"/>
    <x v="1"/>
    <x v="11"/>
    <x v="26"/>
    <x v="10"/>
    <x v="3"/>
    <x v="32"/>
    <x v="25"/>
  </r>
  <r>
    <x v="620"/>
    <x v="28"/>
    <n v="1"/>
    <x v="0"/>
    <x v="2"/>
    <x v="0"/>
    <x v="0"/>
    <x v="0"/>
    <x v="1"/>
    <x v="11"/>
    <x v="26"/>
    <x v="13"/>
    <x v="3"/>
    <x v="89"/>
    <x v="93"/>
  </r>
  <r>
    <x v="621"/>
    <x v="28"/>
    <n v="1"/>
    <x v="0"/>
    <x v="3"/>
    <x v="0"/>
    <x v="0"/>
    <x v="0"/>
    <x v="2"/>
    <x v="12"/>
    <x v="26"/>
    <x v="12"/>
    <x v="0"/>
    <x v="34"/>
    <x v="7"/>
  </r>
  <r>
    <x v="622"/>
    <x v="28"/>
    <n v="1"/>
    <x v="0"/>
    <x v="4"/>
    <x v="0"/>
    <x v="0"/>
    <x v="0"/>
    <x v="13"/>
    <x v="18"/>
    <x v="27"/>
    <x v="19"/>
    <x v="5"/>
    <x v="6"/>
    <x v="6"/>
  </r>
  <r>
    <x v="623"/>
    <x v="28"/>
    <n v="1"/>
    <x v="0"/>
    <x v="6"/>
    <x v="0"/>
    <x v="0"/>
    <x v="0"/>
    <x v="13"/>
    <x v="18"/>
    <x v="26"/>
    <x v="12"/>
    <x v="3"/>
    <x v="6"/>
    <x v="5"/>
  </r>
  <r>
    <x v="624"/>
    <x v="28"/>
    <n v="1"/>
    <x v="0"/>
    <x v="7"/>
    <x v="0"/>
    <x v="0"/>
    <x v="0"/>
    <x v="13"/>
    <x v="18"/>
    <x v="29"/>
    <x v="19"/>
    <x v="5"/>
    <x v="22"/>
    <x v="36"/>
  </r>
  <r>
    <x v="625"/>
    <x v="28"/>
    <n v="1"/>
    <x v="0"/>
    <x v="8"/>
    <x v="0"/>
    <x v="0"/>
    <x v="0"/>
    <x v="15"/>
    <x v="13"/>
    <x v="28"/>
    <x v="13"/>
    <x v="0"/>
    <x v="17"/>
    <x v="19"/>
  </r>
  <r>
    <x v="626"/>
    <x v="28"/>
    <n v="1"/>
    <x v="0"/>
    <x v="9"/>
    <x v="0"/>
    <x v="0"/>
    <x v="0"/>
    <x v="15"/>
    <x v="12"/>
    <x v="29"/>
    <x v="3"/>
    <x v="3"/>
    <x v="60"/>
    <x v="19"/>
  </r>
  <r>
    <x v="627"/>
    <x v="28"/>
    <n v="1"/>
    <x v="0"/>
    <x v="10"/>
    <x v="0"/>
    <x v="0"/>
    <x v="1"/>
    <x v="15"/>
    <x v="12"/>
    <x v="26"/>
    <x v="19"/>
    <x v="17"/>
    <x v="82"/>
    <x v="97"/>
  </r>
  <r>
    <x v="628"/>
    <x v="28"/>
    <n v="1"/>
    <x v="0"/>
    <x v="11"/>
    <x v="0"/>
    <x v="0"/>
    <x v="1"/>
    <x v="15"/>
    <x v="13"/>
    <x v="26"/>
    <x v="12"/>
    <x v="17"/>
    <x v="91"/>
    <x v="37"/>
  </r>
  <r>
    <x v="629"/>
    <x v="28"/>
    <n v="1"/>
    <x v="0"/>
    <x v="12"/>
    <x v="0"/>
    <x v="0"/>
    <x v="1"/>
    <x v="2"/>
    <x v="13"/>
    <x v="29"/>
    <x v="10"/>
    <x v="6"/>
    <x v="43"/>
    <x v="53"/>
  </r>
  <r>
    <x v="630"/>
    <x v="28"/>
    <n v="1"/>
    <x v="0"/>
    <x v="13"/>
    <x v="0"/>
    <x v="0"/>
    <x v="1"/>
    <x v="1"/>
    <x v="11"/>
    <x v="28"/>
    <x v="13"/>
    <x v="14"/>
    <x v="90"/>
    <x v="32"/>
  </r>
  <r>
    <x v="631"/>
    <x v="28"/>
    <n v="1"/>
    <x v="0"/>
    <x v="14"/>
    <x v="0"/>
    <x v="0"/>
    <x v="1"/>
    <x v="1"/>
    <x v="11"/>
    <x v="54"/>
    <x v="12"/>
    <x v="22"/>
    <x v="121"/>
    <x v="111"/>
  </r>
  <r>
    <x v="632"/>
    <x v="28"/>
    <n v="1"/>
    <x v="0"/>
    <x v="15"/>
    <x v="0"/>
    <x v="0"/>
    <x v="0"/>
    <x v="1"/>
    <x v="12"/>
    <x v="27"/>
    <x v="7"/>
    <x v="30"/>
    <x v="52"/>
    <x v="151"/>
  </r>
  <r>
    <x v="633"/>
    <x v="28"/>
    <n v="1"/>
    <x v="0"/>
    <x v="16"/>
    <x v="0"/>
    <x v="0"/>
    <x v="0"/>
    <x v="0"/>
    <x v="19"/>
    <x v="54"/>
    <x v="13"/>
    <x v="21"/>
    <x v="152"/>
    <x v="166"/>
  </r>
  <r>
    <x v="634"/>
    <x v="28"/>
    <n v="1"/>
    <x v="0"/>
    <x v="17"/>
    <x v="0"/>
    <x v="0"/>
    <x v="0"/>
    <x v="0"/>
    <x v="0"/>
    <x v="54"/>
    <x v="60"/>
    <x v="14"/>
    <x v="70"/>
    <x v="134"/>
  </r>
  <r>
    <x v="635"/>
    <x v="28"/>
    <n v="1"/>
    <x v="0"/>
    <x v="18"/>
    <x v="0"/>
    <x v="0"/>
    <x v="0"/>
    <x v="1"/>
    <x v="11"/>
    <x v="27"/>
    <x v="12"/>
    <x v="14"/>
    <x v="79"/>
    <x v="118"/>
  </r>
  <r>
    <x v="636"/>
    <x v="28"/>
    <n v="1"/>
    <x v="0"/>
    <x v="19"/>
    <x v="0"/>
    <x v="0"/>
    <x v="1"/>
    <x v="1"/>
    <x v="12"/>
    <x v="27"/>
    <x v="7"/>
    <x v="15"/>
    <x v="15"/>
    <x v="154"/>
  </r>
  <r>
    <x v="637"/>
    <x v="28"/>
    <n v="1"/>
    <x v="0"/>
    <x v="20"/>
    <x v="0"/>
    <x v="0"/>
    <x v="0"/>
    <x v="15"/>
    <x v="12"/>
    <x v="32"/>
    <x v="3"/>
    <x v="5"/>
    <x v="76"/>
    <x v="74"/>
  </r>
  <r>
    <x v="638"/>
    <x v="28"/>
    <n v="1"/>
    <x v="0"/>
    <x v="21"/>
    <x v="0"/>
    <x v="0"/>
    <x v="0"/>
    <x v="15"/>
    <x v="12"/>
    <x v="32"/>
    <x v="3"/>
    <x v="5"/>
    <x v="96"/>
    <x v="9"/>
  </r>
  <r>
    <x v="639"/>
    <x v="28"/>
    <n v="1"/>
    <x v="0"/>
    <x v="22"/>
    <x v="0"/>
    <x v="0"/>
    <x v="0"/>
    <x v="13"/>
    <x v="13"/>
    <x v="1"/>
    <x v="3"/>
    <x v="17"/>
    <x v="95"/>
    <x v="2"/>
  </r>
  <r>
    <x v="640"/>
    <x v="28"/>
    <n v="1"/>
    <x v="0"/>
    <x v="23"/>
    <x v="0"/>
    <x v="0"/>
    <x v="0"/>
    <x v="13"/>
    <x v="13"/>
    <x v="1"/>
    <x v="3"/>
    <x v="0"/>
    <x v="10"/>
    <x v="63"/>
  </r>
  <r>
    <x v="641"/>
    <x v="29"/>
    <n v="1"/>
    <x v="0"/>
    <x v="0"/>
    <x v="0"/>
    <x v="1"/>
    <x v="0"/>
    <x v="13"/>
    <x v="18"/>
    <x v="1"/>
    <x v="19"/>
    <x v="3"/>
    <x v="39"/>
    <x v="63"/>
  </r>
  <r>
    <x v="642"/>
    <x v="29"/>
    <n v="1"/>
    <x v="0"/>
    <x v="1"/>
    <x v="0"/>
    <x v="1"/>
    <x v="0"/>
    <x v="14"/>
    <x v="12"/>
    <x v="1"/>
    <x v="61"/>
    <x v="18"/>
    <x v="97"/>
    <x v="115"/>
  </r>
  <r>
    <x v="643"/>
    <x v="29"/>
    <n v="1"/>
    <x v="0"/>
    <x v="2"/>
    <x v="0"/>
    <x v="1"/>
    <x v="0"/>
    <x v="13"/>
    <x v="11"/>
    <x v="1"/>
    <x v="62"/>
    <x v="5"/>
    <x v="3"/>
    <x v="62"/>
  </r>
  <r>
    <x v="644"/>
    <x v="29"/>
    <n v="1"/>
    <x v="0"/>
    <x v="3"/>
    <x v="0"/>
    <x v="1"/>
    <x v="0"/>
    <x v="14"/>
    <x v="12"/>
    <x v="43"/>
    <x v="63"/>
    <x v="5"/>
    <x v="7"/>
    <x v="7"/>
  </r>
  <r>
    <x v="645"/>
    <x v="29"/>
    <n v="1"/>
    <x v="0"/>
    <x v="4"/>
    <x v="0"/>
    <x v="1"/>
    <x v="0"/>
    <x v="14"/>
    <x v="12"/>
    <x v="43"/>
    <x v="63"/>
    <x v="3"/>
    <x v="4"/>
    <x v="4"/>
  </r>
  <r>
    <x v="646"/>
    <x v="29"/>
    <n v="1"/>
    <x v="0"/>
    <x v="5"/>
    <x v="0"/>
    <x v="1"/>
    <x v="0"/>
    <x v="14"/>
    <x v="12"/>
    <x v="3"/>
    <x v="64"/>
    <x v="3"/>
    <x v="35"/>
    <x v="6"/>
  </r>
  <r>
    <x v="647"/>
    <x v="29"/>
    <n v="1"/>
    <x v="0"/>
    <x v="7"/>
    <x v="0"/>
    <x v="1"/>
    <x v="0"/>
    <x v="14"/>
    <x v="12"/>
    <x v="3"/>
    <x v="64"/>
    <x v="3"/>
    <x v="35"/>
    <x v="6"/>
  </r>
  <r>
    <x v="648"/>
    <x v="29"/>
    <n v="1"/>
    <x v="0"/>
    <x v="8"/>
    <x v="0"/>
    <x v="1"/>
    <x v="1"/>
    <x v="14"/>
    <x v="12"/>
    <x v="3"/>
    <x v="64"/>
    <x v="5"/>
    <x v="48"/>
    <x v="47"/>
  </r>
  <r>
    <x v="649"/>
    <x v="29"/>
    <n v="1"/>
    <x v="0"/>
    <x v="9"/>
    <x v="0"/>
    <x v="1"/>
    <x v="1"/>
    <x v="13"/>
    <x v="11"/>
    <x v="1"/>
    <x v="62"/>
    <x v="17"/>
    <x v="60"/>
    <x v="103"/>
  </r>
  <r>
    <x v="650"/>
    <x v="29"/>
    <n v="1"/>
    <x v="0"/>
    <x v="10"/>
    <x v="0"/>
    <x v="1"/>
    <x v="1"/>
    <x v="15"/>
    <x v="19"/>
    <x v="1"/>
    <x v="65"/>
    <x v="18"/>
    <x v="77"/>
    <x v="37"/>
  </r>
  <r>
    <x v="651"/>
    <x v="29"/>
    <n v="1"/>
    <x v="0"/>
    <x v="11"/>
    <x v="0"/>
    <x v="1"/>
    <x v="0"/>
    <x v="1"/>
    <x v="1"/>
    <x v="2"/>
    <x v="66"/>
    <x v="14"/>
    <x v="54"/>
    <x v="29"/>
  </r>
  <r>
    <x v="652"/>
    <x v="29"/>
    <n v="1"/>
    <x v="0"/>
    <x v="12"/>
    <x v="0"/>
    <x v="1"/>
    <x v="0"/>
    <x v="11"/>
    <x v="21"/>
    <x v="35"/>
    <x v="19"/>
    <x v="22"/>
    <x v="61"/>
    <x v="54"/>
  </r>
  <r>
    <x v="653"/>
    <x v="29"/>
    <n v="1"/>
    <x v="0"/>
    <x v="13"/>
    <x v="0"/>
    <x v="1"/>
    <x v="0"/>
    <x v="17"/>
    <x v="0"/>
    <x v="53"/>
    <x v="19"/>
    <x v="23"/>
    <x v="13"/>
    <x v="11"/>
  </r>
  <r>
    <x v="654"/>
    <x v="29"/>
    <n v="1"/>
    <x v="0"/>
    <x v="14"/>
    <x v="0"/>
    <x v="1"/>
    <x v="0"/>
    <x v="17"/>
    <x v="25"/>
    <x v="53"/>
    <x v="3"/>
    <x v="25"/>
    <x v="153"/>
    <x v="78"/>
  </r>
  <r>
    <x v="655"/>
    <x v="29"/>
    <n v="1"/>
    <x v="0"/>
    <x v="15"/>
    <x v="0"/>
    <x v="1"/>
    <x v="0"/>
    <x v="11"/>
    <x v="6"/>
    <x v="34"/>
    <x v="67"/>
    <x v="24"/>
    <x v="73"/>
    <x v="142"/>
  </r>
  <r>
    <x v="656"/>
    <x v="29"/>
    <n v="1"/>
    <x v="0"/>
    <x v="16"/>
    <x v="0"/>
    <x v="1"/>
    <x v="0"/>
    <x v="11"/>
    <x v="6"/>
    <x v="34"/>
    <x v="67"/>
    <x v="21"/>
    <x v="153"/>
    <x v="92"/>
  </r>
  <r>
    <x v="657"/>
    <x v="29"/>
    <n v="1"/>
    <x v="0"/>
    <x v="17"/>
    <x v="0"/>
    <x v="1"/>
    <x v="0"/>
    <x v="11"/>
    <x v="0"/>
    <x v="34"/>
    <x v="10"/>
    <x v="15"/>
    <x v="13"/>
    <x v="43"/>
  </r>
  <r>
    <x v="658"/>
    <x v="29"/>
    <n v="1"/>
    <x v="0"/>
    <x v="18"/>
    <x v="0"/>
    <x v="1"/>
    <x v="0"/>
    <x v="12"/>
    <x v="2"/>
    <x v="55"/>
    <x v="13"/>
    <x v="1"/>
    <x v="77"/>
    <x v="32"/>
  </r>
  <r>
    <x v="659"/>
    <x v="29"/>
    <n v="1"/>
    <x v="0"/>
    <x v="19"/>
    <x v="0"/>
    <x v="1"/>
    <x v="0"/>
    <x v="12"/>
    <x v="2"/>
    <x v="55"/>
    <x v="10"/>
    <x v="14"/>
    <x v="24"/>
    <x v="97"/>
  </r>
  <r>
    <x v="660"/>
    <x v="29"/>
    <n v="1"/>
    <x v="0"/>
    <x v="20"/>
    <x v="0"/>
    <x v="1"/>
    <x v="1"/>
    <x v="12"/>
    <x v="1"/>
    <x v="55"/>
    <x v="19"/>
    <x v="0"/>
    <x v="10"/>
    <x v="63"/>
  </r>
  <r>
    <x v="661"/>
    <x v="29"/>
    <n v="1"/>
    <x v="0"/>
    <x v="21"/>
    <x v="0"/>
    <x v="1"/>
    <x v="1"/>
    <x v="0"/>
    <x v="19"/>
    <x v="56"/>
    <x v="13"/>
    <x v="0"/>
    <x v="18"/>
    <x v="20"/>
  </r>
  <r>
    <x v="662"/>
    <x v="29"/>
    <n v="1"/>
    <x v="0"/>
    <x v="22"/>
    <x v="0"/>
    <x v="1"/>
    <x v="1"/>
    <x v="0"/>
    <x v="11"/>
    <x v="56"/>
    <x v="10"/>
    <x v="4"/>
    <x v="23"/>
    <x v="137"/>
  </r>
  <r>
    <x v="663"/>
    <x v="29"/>
    <n v="1"/>
    <x v="0"/>
    <x v="23"/>
    <x v="0"/>
    <x v="1"/>
    <x v="1"/>
    <x v="0"/>
    <x v="12"/>
    <x v="55"/>
    <x v="8"/>
    <x v="2"/>
    <x v="20"/>
    <x v="137"/>
  </r>
  <r>
    <x v="664"/>
    <x v="30"/>
    <n v="1"/>
    <x v="0"/>
    <x v="0"/>
    <x v="0"/>
    <x v="2"/>
    <x v="1"/>
    <x v="0"/>
    <x v="11"/>
    <x v="55"/>
    <x v="11"/>
    <x v="5"/>
    <x v="8"/>
    <x v="85"/>
  </r>
  <r>
    <x v="665"/>
    <x v="30"/>
    <n v="1"/>
    <x v="0"/>
    <x v="1"/>
    <x v="0"/>
    <x v="2"/>
    <x v="0"/>
    <x v="1"/>
    <x v="12"/>
    <x v="26"/>
    <x v="7"/>
    <x v="4"/>
    <x v="34"/>
    <x v="85"/>
  </r>
  <r>
    <x v="666"/>
    <x v="30"/>
    <n v="1"/>
    <x v="0"/>
    <x v="2"/>
    <x v="0"/>
    <x v="2"/>
    <x v="0"/>
    <x v="1"/>
    <x v="11"/>
    <x v="26"/>
    <x v="10"/>
    <x v="3"/>
    <x v="4"/>
    <x v="4"/>
  </r>
  <r>
    <x v="667"/>
    <x v="30"/>
    <n v="1"/>
    <x v="0"/>
    <x v="3"/>
    <x v="0"/>
    <x v="2"/>
    <x v="0"/>
    <x v="1"/>
    <x v="11"/>
    <x v="26"/>
    <x v="10"/>
    <x v="3"/>
    <x v="6"/>
    <x v="5"/>
  </r>
  <r>
    <x v="668"/>
    <x v="30"/>
    <n v="1"/>
    <x v="0"/>
    <x v="4"/>
    <x v="0"/>
    <x v="2"/>
    <x v="0"/>
    <x v="2"/>
    <x v="13"/>
    <x v="29"/>
    <x v="11"/>
    <x v="3"/>
    <x v="6"/>
    <x v="5"/>
  </r>
  <r>
    <x v="669"/>
    <x v="30"/>
    <n v="1"/>
    <x v="0"/>
    <x v="5"/>
    <x v="0"/>
    <x v="2"/>
    <x v="0"/>
    <x v="15"/>
    <x v="17"/>
    <x v="26"/>
    <x v="8"/>
    <x v="3"/>
    <x v="21"/>
    <x v="7"/>
  </r>
  <r>
    <x v="670"/>
    <x v="30"/>
    <n v="1"/>
    <x v="0"/>
    <x v="6"/>
    <x v="0"/>
    <x v="2"/>
    <x v="0"/>
    <x v="13"/>
    <x v="14"/>
    <x v="27"/>
    <x v="14"/>
    <x v="3"/>
    <x v="53"/>
    <x v="18"/>
  </r>
  <r>
    <x v="671"/>
    <x v="30"/>
    <n v="1"/>
    <x v="0"/>
    <x v="7"/>
    <x v="0"/>
    <x v="2"/>
    <x v="1"/>
    <x v="13"/>
    <x v="14"/>
    <x v="26"/>
    <x v="8"/>
    <x v="5"/>
    <x v="13"/>
    <x v="44"/>
  </r>
  <r>
    <x v="672"/>
    <x v="30"/>
    <n v="1"/>
    <x v="0"/>
    <x v="8"/>
    <x v="0"/>
    <x v="2"/>
    <x v="1"/>
    <x v="13"/>
    <x v="14"/>
    <x v="29"/>
    <x v="8"/>
    <x v="0"/>
    <x v="154"/>
    <x v="147"/>
  </r>
  <r>
    <x v="673"/>
    <x v="30"/>
    <n v="1"/>
    <x v="0"/>
    <x v="9"/>
    <x v="0"/>
    <x v="2"/>
    <x v="1"/>
    <x v="13"/>
    <x v="14"/>
    <x v="29"/>
    <x v="9"/>
    <x v="3"/>
    <x v="155"/>
    <x v="59"/>
  </r>
  <r>
    <x v="674"/>
    <x v="30"/>
    <n v="1"/>
    <x v="0"/>
    <x v="10"/>
    <x v="0"/>
    <x v="2"/>
    <x v="1"/>
    <x v="13"/>
    <x v="20"/>
    <x v="29"/>
    <x v="10"/>
    <x v="5"/>
    <x v="56"/>
    <x v="83"/>
  </r>
  <r>
    <x v="675"/>
    <x v="30"/>
    <n v="1"/>
    <x v="0"/>
    <x v="11"/>
    <x v="0"/>
    <x v="2"/>
    <x v="1"/>
    <x v="13"/>
    <x v="20"/>
    <x v="29"/>
    <x v="10"/>
    <x v="4"/>
    <x v="24"/>
    <x v="61"/>
  </r>
  <r>
    <x v="676"/>
    <x v="30"/>
    <n v="1"/>
    <x v="0"/>
    <x v="12"/>
    <x v="0"/>
    <x v="2"/>
    <x v="1"/>
    <x v="15"/>
    <x v="12"/>
    <x v="28"/>
    <x v="19"/>
    <x v="15"/>
    <x v="133"/>
    <x v="118"/>
  </r>
  <r>
    <x v="677"/>
    <x v="30"/>
    <n v="1"/>
    <x v="0"/>
    <x v="13"/>
    <x v="0"/>
    <x v="2"/>
    <x v="1"/>
    <x v="13"/>
    <x v="11"/>
    <x v="29"/>
    <x v="25"/>
    <x v="4"/>
    <x v="15"/>
    <x v="60"/>
  </r>
  <r>
    <x v="678"/>
    <x v="30"/>
    <n v="1"/>
    <x v="0"/>
    <x v="14"/>
    <x v="0"/>
    <x v="2"/>
    <x v="1"/>
    <x v="15"/>
    <x v="13"/>
    <x v="28"/>
    <x v="12"/>
    <x v="5"/>
    <x v="66"/>
    <x v="80"/>
  </r>
  <r>
    <x v="679"/>
    <x v="30"/>
    <n v="1"/>
    <x v="0"/>
    <x v="15"/>
    <x v="0"/>
    <x v="2"/>
    <x v="1"/>
    <x v="13"/>
    <x v="18"/>
    <x v="29"/>
    <x v="12"/>
    <x v="0"/>
    <x v="40"/>
    <x v="40"/>
  </r>
  <r>
    <x v="680"/>
    <x v="30"/>
    <n v="1"/>
    <x v="0"/>
    <x v="16"/>
    <x v="0"/>
    <x v="2"/>
    <x v="1"/>
    <x v="13"/>
    <x v="18"/>
    <x v="34"/>
    <x v="10"/>
    <x v="0"/>
    <x v="93"/>
    <x v="80"/>
  </r>
  <r>
    <x v="681"/>
    <x v="30"/>
    <n v="1"/>
    <x v="0"/>
    <x v="17"/>
    <x v="0"/>
    <x v="2"/>
    <x v="1"/>
    <x v="13"/>
    <x v="20"/>
    <x v="29"/>
    <x v="10"/>
    <x v="15"/>
    <x v="119"/>
    <x v="143"/>
  </r>
  <r>
    <x v="682"/>
    <x v="30"/>
    <n v="1"/>
    <x v="0"/>
    <x v="18"/>
    <x v="0"/>
    <x v="2"/>
    <x v="1"/>
    <x v="13"/>
    <x v="20"/>
    <x v="28"/>
    <x v="11"/>
    <x v="0"/>
    <x v="37"/>
    <x v="167"/>
  </r>
  <r>
    <x v="683"/>
    <x v="30"/>
    <n v="1"/>
    <x v="0"/>
    <x v="19"/>
    <x v="0"/>
    <x v="2"/>
    <x v="0"/>
    <x v="11"/>
    <x v="21"/>
    <x v="53"/>
    <x v="19"/>
    <x v="0"/>
    <x v="123"/>
    <x v="168"/>
  </r>
  <r>
    <x v="684"/>
    <x v="30"/>
    <n v="1"/>
    <x v="0"/>
    <x v="20"/>
    <x v="0"/>
    <x v="2"/>
    <x v="2"/>
    <x v="13"/>
    <x v="17"/>
    <x v="29"/>
    <x v="13"/>
    <x v="3"/>
    <x v="78"/>
    <x v="53"/>
  </r>
  <r>
    <x v="685"/>
    <x v="30"/>
    <n v="1"/>
    <x v="0"/>
    <x v="21"/>
    <x v="0"/>
    <x v="2"/>
    <x v="2"/>
    <x v="13"/>
    <x v="13"/>
    <x v="29"/>
    <x v="3"/>
    <x v="0"/>
    <x v="42"/>
    <x v="10"/>
  </r>
  <r>
    <x v="686"/>
    <x v="30"/>
    <n v="1"/>
    <x v="0"/>
    <x v="22"/>
    <x v="0"/>
    <x v="2"/>
    <x v="1"/>
    <x v="13"/>
    <x v="18"/>
    <x v="29"/>
    <x v="19"/>
    <x v="3"/>
    <x v="60"/>
    <x v="19"/>
  </r>
  <r>
    <x v="687"/>
    <x v="30"/>
    <n v="1"/>
    <x v="0"/>
    <x v="23"/>
    <x v="0"/>
    <x v="2"/>
    <x v="1"/>
    <x v="13"/>
    <x v="13"/>
    <x v="26"/>
    <x v="3"/>
    <x v="4"/>
    <x v="89"/>
    <x v="22"/>
  </r>
  <r>
    <x v="688"/>
    <x v="31"/>
    <n v="1"/>
    <x v="1"/>
    <x v="0"/>
    <x v="0"/>
    <x v="3"/>
    <x v="1"/>
    <x v="13"/>
    <x v="18"/>
    <x v="26"/>
    <x v="19"/>
    <x v="4"/>
    <x v="8"/>
    <x v="7"/>
  </r>
  <r>
    <x v="689"/>
    <x v="31"/>
    <n v="1"/>
    <x v="1"/>
    <x v="1"/>
    <x v="0"/>
    <x v="3"/>
    <x v="1"/>
    <x v="13"/>
    <x v="18"/>
    <x v="27"/>
    <x v="19"/>
    <x v="3"/>
    <x v="35"/>
    <x v="6"/>
  </r>
  <r>
    <x v="690"/>
    <x v="31"/>
    <n v="1"/>
    <x v="1"/>
    <x v="2"/>
    <x v="0"/>
    <x v="3"/>
    <x v="1"/>
    <x v="13"/>
    <x v="11"/>
    <x v="27"/>
    <x v="42"/>
    <x v="3"/>
    <x v="6"/>
    <x v="5"/>
  </r>
  <r>
    <x v="691"/>
    <x v="31"/>
    <n v="1"/>
    <x v="1"/>
    <x v="3"/>
    <x v="0"/>
    <x v="3"/>
    <x v="1"/>
    <x v="13"/>
    <x v="11"/>
    <x v="27"/>
    <x v="42"/>
    <x v="3"/>
    <x v="6"/>
    <x v="5"/>
  </r>
  <r>
    <x v="692"/>
    <x v="31"/>
    <n v="1"/>
    <x v="1"/>
    <x v="5"/>
    <x v="0"/>
    <x v="3"/>
    <x v="2"/>
    <x v="14"/>
    <x v="12"/>
    <x v="43"/>
    <x v="63"/>
    <x v="3"/>
    <x v="35"/>
    <x v="6"/>
  </r>
  <r>
    <x v="693"/>
    <x v="31"/>
    <n v="1"/>
    <x v="1"/>
    <x v="6"/>
    <x v="0"/>
    <x v="3"/>
    <x v="2"/>
    <x v="14"/>
    <x v="12"/>
    <x v="43"/>
    <x v="63"/>
    <x v="3"/>
    <x v="97"/>
    <x v="34"/>
  </r>
  <r>
    <x v="694"/>
    <x v="31"/>
    <n v="1"/>
    <x v="1"/>
    <x v="7"/>
    <x v="0"/>
    <x v="3"/>
    <x v="2"/>
    <x v="13"/>
    <x v="11"/>
    <x v="43"/>
    <x v="37"/>
    <x v="3"/>
    <x v="15"/>
    <x v="46"/>
  </r>
  <r>
    <x v="695"/>
    <x v="31"/>
    <n v="1"/>
    <x v="1"/>
    <x v="8"/>
    <x v="0"/>
    <x v="3"/>
    <x v="2"/>
    <x v="13"/>
    <x v="11"/>
    <x v="43"/>
    <x v="37"/>
    <x v="0"/>
    <x v="126"/>
    <x v="169"/>
  </r>
  <r>
    <x v="696"/>
    <x v="31"/>
    <n v="1"/>
    <x v="1"/>
    <x v="9"/>
    <x v="0"/>
    <x v="3"/>
    <x v="1"/>
    <x v="13"/>
    <x v="11"/>
    <x v="43"/>
    <x v="37"/>
    <x v="4"/>
    <x v="156"/>
    <x v="155"/>
  </r>
  <r>
    <x v="697"/>
    <x v="31"/>
    <n v="1"/>
    <x v="1"/>
    <x v="10"/>
    <x v="0"/>
    <x v="3"/>
    <x v="1"/>
    <x v="13"/>
    <x v="11"/>
    <x v="43"/>
    <x v="37"/>
    <x v="3"/>
    <x v="12"/>
    <x v="105"/>
  </r>
  <r>
    <x v="698"/>
    <x v="31"/>
    <n v="1"/>
    <x v="1"/>
    <x v="11"/>
    <x v="0"/>
    <x v="3"/>
    <x v="1"/>
    <x v="15"/>
    <x v="19"/>
    <x v="3"/>
    <x v="68"/>
    <x v="4"/>
    <x v="47"/>
    <x v="41"/>
  </r>
  <r>
    <x v="699"/>
    <x v="31"/>
    <n v="1"/>
    <x v="1"/>
    <x v="12"/>
    <x v="0"/>
    <x v="3"/>
    <x v="1"/>
    <x v="2"/>
    <x v="2"/>
    <x v="3"/>
    <x v="4"/>
    <x v="4"/>
    <x v="42"/>
    <x v="97"/>
  </r>
  <r>
    <x v="700"/>
    <x v="31"/>
    <n v="1"/>
    <x v="1"/>
    <x v="13"/>
    <x v="0"/>
    <x v="3"/>
    <x v="1"/>
    <x v="2"/>
    <x v="2"/>
    <x v="3"/>
    <x v="4"/>
    <x v="0"/>
    <x v="47"/>
    <x v="46"/>
  </r>
  <r>
    <x v="701"/>
    <x v="31"/>
    <n v="1"/>
    <x v="1"/>
    <x v="14"/>
    <x v="0"/>
    <x v="3"/>
    <x v="1"/>
    <x v="1"/>
    <x v="2"/>
    <x v="1"/>
    <x v="3"/>
    <x v="2"/>
    <x v="47"/>
    <x v="60"/>
  </r>
  <r>
    <x v="702"/>
    <x v="31"/>
    <n v="1"/>
    <x v="1"/>
    <x v="15"/>
    <x v="0"/>
    <x v="3"/>
    <x v="1"/>
    <x v="0"/>
    <x v="0"/>
    <x v="2"/>
    <x v="2"/>
    <x v="18"/>
    <x v="108"/>
    <x v="46"/>
  </r>
  <r>
    <x v="703"/>
    <x v="31"/>
    <n v="1"/>
    <x v="1"/>
    <x v="16"/>
    <x v="0"/>
    <x v="3"/>
    <x v="1"/>
    <x v="0"/>
    <x v="19"/>
    <x v="2"/>
    <x v="12"/>
    <x v="0"/>
    <x v="124"/>
    <x v="37"/>
  </r>
  <r>
    <x v="704"/>
    <x v="31"/>
    <n v="1"/>
    <x v="1"/>
    <x v="17"/>
    <x v="0"/>
    <x v="3"/>
    <x v="1"/>
    <x v="0"/>
    <x v="0"/>
    <x v="2"/>
    <x v="2"/>
    <x v="17"/>
    <x v="157"/>
    <x v="170"/>
  </r>
  <r>
    <x v="705"/>
    <x v="31"/>
    <n v="1"/>
    <x v="1"/>
    <x v="18"/>
    <x v="0"/>
    <x v="3"/>
    <x v="1"/>
    <x v="0"/>
    <x v="2"/>
    <x v="0"/>
    <x v="19"/>
    <x v="0"/>
    <x v="158"/>
    <x v="171"/>
  </r>
  <r>
    <x v="706"/>
    <x v="31"/>
    <n v="1"/>
    <x v="1"/>
    <x v="19"/>
    <x v="0"/>
    <x v="3"/>
    <x v="1"/>
    <x v="0"/>
    <x v="19"/>
    <x v="0"/>
    <x v="12"/>
    <x v="0"/>
    <x v="159"/>
    <x v="159"/>
  </r>
  <r>
    <x v="707"/>
    <x v="31"/>
    <n v="1"/>
    <x v="1"/>
    <x v="20"/>
    <x v="0"/>
    <x v="3"/>
    <x v="1"/>
    <x v="1"/>
    <x v="11"/>
    <x v="9"/>
    <x v="12"/>
    <x v="2"/>
    <x v="94"/>
    <x v="30"/>
  </r>
  <r>
    <x v="708"/>
    <x v="31"/>
    <n v="1"/>
    <x v="1"/>
    <x v="21"/>
    <x v="0"/>
    <x v="3"/>
    <x v="1"/>
    <x v="1"/>
    <x v="11"/>
    <x v="9"/>
    <x v="12"/>
    <x v="3"/>
    <x v="27"/>
    <x v="37"/>
  </r>
  <r>
    <x v="709"/>
    <x v="31"/>
    <n v="1"/>
    <x v="1"/>
    <x v="22"/>
    <x v="0"/>
    <x v="3"/>
    <x v="1"/>
    <x v="1"/>
    <x v="2"/>
    <x v="9"/>
    <x v="3"/>
    <x v="4"/>
    <x v="60"/>
    <x v="9"/>
  </r>
  <r>
    <x v="710"/>
    <x v="31"/>
    <n v="1"/>
    <x v="1"/>
    <x v="23"/>
    <x v="0"/>
    <x v="3"/>
    <x v="2"/>
    <x v="2"/>
    <x v="13"/>
    <x v="43"/>
    <x v="10"/>
    <x v="5"/>
    <x v="89"/>
    <x v="0"/>
  </r>
  <r>
    <x v="711"/>
    <x v="32"/>
    <n v="1"/>
    <x v="1"/>
    <x v="0"/>
    <x v="0"/>
    <x v="4"/>
    <x v="2"/>
    <x v="1"/>
    <x v="19"/>
    <x v="43"/>
    <x v="19"/>
    <x v="3"/>
    <x v="6"/>
    <x v="5"/>
  </r>
  <r>
    <x v="712"/>
    <x v="32"/>
    <n v="1"/>
    <x v="1"/>
    <x v="1"/>
    <x v="0"/>
    <x v="4"/>
    <x v="2"/>
    <x v="1"/>
    <x v="11"/>
    <x v="43"/>
    <x v="10"/>
    <x v="3"/>
    <x v="35"/>
    <x v="6"/>
  </r>
  <r>
    <x v="713"/>
    <x v="32"/>
    <n v="1"/>
    <x v="1"/>
    <x v="2"/>
    <x v="0"/>
    <x v="4"/>
    <x v="2"/>
    <x v="1"/>
    <x v="11"/>
    <x v="43"/>
    <x v="12"/>
    <x v="17"/>
    <x v="5"/>
    <x v="48"/>
  </r>
  <r>
    <x v="714"/>
    <x v="32"/>
    <n v="1"/>
    <x v="1"/>
    <x v="3"/>
    <x v="0"/>
    <x v="4"/>
    <x v="2"/>
    <x v="1"/>
    <x v="11"/>
    <x v="43"/>
    <x v="12"/>
    <x v="3"/>
    <x v="4"/>
    <x v="4"/>
  </r>
  <r>
    <x v="715"/>
    <x v="32"/>
    <n v="1"/>
    <x v="1"/>
    <x v="4"/>
    <x v="0"/>
    <x v="4"/>
    <x v="2"/>
    <x v="1"/>
    <x v="12"/>
    <x v="43"/>
    <x v="8"/>
    <x v="3"/>
    <x v="4"/>
    <x v="4"/>
  </r>
  <r>
    <x v="716"/>
    <x v="32"/>
    <n v="1"/>
    <x v="1"/>
    <x v="5"/>
    <x v="0"/>
    <x v="4"/>
    <x v="2"/>
    <x v="1"/>
    <x v="19"/>
    <x v="43"/>
    <x v="19"/>
    <x v="3"/>
    <x v="35"/>
    <x v="6"/>
  </r>
  <r>
    <x v="717"/>
    <x v="32"/>
    <n v="1"/>
    <x v="1"/>
    <x v="6"/>
    <x v="0"/>
    <x v="4"/>
    <x v="2"/>
    <x v="1"/>
    <x v="19"/>
    <x v="43"/>
    <x v="19"/>
    <x v="5"/>
    <x v="19"/>
    <x v="109"/>
  </r>
  <r>
    <x v="718"/>
    <x v="32"/>
    <n v="1"/>
    <x v="1"/>
    <x v="7"/>
    <x v="0"/>
    <x v="4"/>
    <x v="2"/>
    <x v="1"/>
    <x v="12"/>
    <x v="43"/>
    <x v="11"/>
    <x v="5"/>
    <x v="41"/>
    <x v="99"/>
  </r>
  <r>
    <x v="719"/>
    <x v="32"/>
    <n v="1"/>
    <x v="1"/>
    <x v="8"/>
    <x v="0"/>
    <x v="4"/>
    <x v="2"/>
    <x v="1"/>
    <x v="12"/>
    <x v="43"/>
    <x v="11"/>
    <x v="5"/>
    <x v="105"/>
    <x v="107"/>
  </r>
  <r>
    <x v="720"/>
    <x v="32"/>
    <n v="1"/>
    <x v="1"/>
    <x v="9"/>
    <x v="0"/>
    <x v="4"/>
    <x v="1"/>
    <x v="0"/>
    <x v="2"/>
    <x v="43"/>
    <x v="3"/>
    <x v="17"/>
    <x v="138"/>
    <x v="92"/>
  </r>
  <r>
    <x v="721"/>
    <x v="32"/>
    <n v="1"/>
    <x v="1"/>
    <x v="10"/>
    <x v="0"/>
    <x v="4"/>
    <x v="1"/>
    <x v="1"/>
    <x v="1"/>
    <x v="11"/>
    <x v="69"/>
    <x v="4"/>
    <x v="79"/>
    <x v="42"/>
  </r>
  <r>
    <x v="722"/>
    <x v="32"/>
    <n v="1"/>
    <x v="1"/>
    <x v="11"/>
    <x v="0"/>
    <x v="4"/>
    <x v="1"/>
    <x v="0"/>
    <x v="11"/>
    <x v="43"/>
    <x v="10"/>
    <x v="2"/>
    <x v="12"/>
    <x v="46"/>
  </r>
  <r>
    <x v="723"/>
    <x v="32"/>
    <n v="1"/>
    <x v="1"/>
    <x v="12"/>
    <x v="0"/>
    <x v="4"/>
    <x v="1"/>
    <x v="0"/>
    <x v="11"/>
    <x v="43"/>
    <x v="11"/>
    <x v="0"/>
    <x v="124"/>
    <x v="37"/>
  </r>
  <r>
    <x v="724"/>
    <x v="32"/>
    <n v="1"/>
    <x v="1"/>
    <x v="13"/>
    <x v="0"/>
    <x v="4"/>
    <x v="0"/>
    <x v="10"/>
    <x v="6"/>
    <x v="43"/>
    <x v="13"/>
    <x v="5"/>
    <x v="64"/>
    <x v="28"/>
  </r>
  <r>
    <x v="725"/>
    <x v="32"/>
    <n v="1"/>
    <x v="1"/>
    <x v="14"/>
    <x v="0"/>
    <x v="4"/>
    <x v="0"/>
    <x v="4"/>
    <x v="5"/>
    <x v="7"/>
    <x v="18"/>
    <x v="4"/>
    <x v="124"/>
    <x v="55"/>
  </r>
  <r>
    <x v="726"/>
    <x v="32"/>
    <n v="1"/>
    <x v="1"/>
    <x v="15"/>
    <x v="0"/>
    <x v="4"/>
    <x v="0"/>
    <x v="4"/>
    <x v="5"/>
    <x v="4"/>
    <x v="14"/>
    <x v="22"/>
    <x v="43"/>
    <x v="31"/>
  </r>
  <r>
    <x v="727"/>
    <x v="32"/>
    <n v="1"/>
    <x v="1"/>
    <x v="16"/>
    <x v="0"/>
    <x v="4"/>
    <x v="0"/>
    <x v="5"/>
    <x v="6"/>
    <x v="12"/>
    <x v="9"/>
    <x v="1"/>
    <x v="73"/>
    <x v="153"/>
  </r>
  <r>
    <x v="728"/>
    <x v="32"/>
    <n v="1"/>
    <x v="1"/>
    <x v="17"/>
    <x v="0"/>
    <x v="4"/>
    <x v="0"/>
    <x v="5"/>
    <x v="21"/>
    <x v="45"/>
    <x v="35"/>
    <x v="18"/>
    <x v="160"/>
    <x v="71"/>
  </r>
  <r>
    <x v="729"/>
    <x v="32"/>
    <n v="1"/>
    <x v="1"/>
    <x v="18"/>
    <x v="0"/>
    <x v="4"/>
    <x v="0"/>
    <x v="10"/>
    <x v="0"/>
    <x v="16"/>
    <x v="33"/>
    <x v="18"/>
    <x v="161"/>
    <x v="58"/>
  </r>
  <r>
    <x v="730"/>
    <x v="32"/>
    <n v="1"/>
    <x v="1"/>
    <x v="19"/>
    <x v="0"/>
    <x v="4"/>
    <x v="0"/>
    <x v="17"/>
    <x v="19"/>
    <x v="49"/>
    <x v="32"/>
    <x v="0"/>
    <x v="152"/>
    <x v="134"/>
  </r>
  <r>
    <x v="731"/>
    <x v="32"/>
    <n v="1"/>
    <x v="1"/>
    <x v="20"/>
    <x v="0"/>
    <x v="4"/>
    <x v="0"/>
    <x v="0"/>
    <x v="13"/>
    <x v="37"/>
    <x v="33"/>
    <x v="17"/>
    <x v="13"/>
    <x v="28"/>
  </r>
  <r>
    <x v="732"/>
    <x v="32"/>
    <n v="1"/>
    <x v="1"/>
    <x v="21"/>
    <x v="0"/>
    <x v="4"/>
    <x v="0"/>
    <x v="1"/>
    <x v="13"/>
    <x v="19"/>
    <x v="14"/>
    <x v="5"/>
    <x v="133"/>
    <x v="55"/>
  </r>
  <r>
    <x v="733"/>
    <x v="32"/>
    <n v="1"/>
    <x v="1"/>
    <x v="22"/>
    <x v="0"/>
    <x v="4"/>
    <x v="0"/>
    <x v="1"/>
    <x v="12"/>
    <x v="18"/>
    <x v="7"/>
    <x v="2"/>
    <x v="96"/>
    <x v="1"/>
  </r>
  <r>
    <x v="734"/>
    <x v="32"/>
    <n v="1"/>
    <x v="1"/>
    <x v="23"/>
    <x v="0"/>
    <x v="4"/>
    <x v="0"/>
    <x v="2"/>
    <x v="17"/>
    <x v="18"/>
    <x v="15"/>
    <x v="0"/>
    <x v="31"/>
    <x v="2"/>
  </r>
  <r>
    <x v="735"/>
    <x v="33"/>
    <n v="1"/>
    <x v="1"/>
    <x v="0"/>
    <x v="0"/>
    <x v="5"/>
    <x v="0"/>
    <x v="2"/>
    <x v="17"/>
    <x v="22"/>
    <x v="15"/>
    <x v="5"/>
    <x v="48"/>
    <x v="47"/>
  </r>
  <r>
    <x v="736"/>
    <x v="33"/>
    <n v="1"/>
    <x v="1"/>
    <x v="1"/>
    <x v="0"/>
    <x v="5"/>
    <x v="0"/>
    <x v="2"/>
    <x v="20"/>
    <x v="18"/>
    <x v="35"/>
    <x v="3"/>
    <x v="34"/>
    <x v="36"/>
  </r>
  <r>
    <x v="737"/>
    <x v="33"/>
    <n v="1"/>
    <x v="1"/>
    <x v="2"/>
    <x v="0"/>
    <x v="5"/>
    <x v="0"/>
    <x v="15"/>
    <x v="17"/>
    <x v="21"/>
    <x v="7"/>
    <x v="3"/>
    <x v="6"/>
    <x v="5"/>
  </r>
  <r>
    <x v="738"/>
    <x v="33"/>
    <n v="1"/>
    <x v="1"/>
    <x v="3"/>
    <x v="0"/>
    <x v="5"/>
    <x v="0"/>
    <x v="15"/>
    <x v="17"/>
    <x v="21"/>
    <x v="7"/>
    <x v="3"/>
    <x v="4"/>
    <x v="4"/>
  </r>
  <r>
    <x v="739"/>
    <x v="33"/>
    <n v="1"/>
    <x v="1"/>
    <x v="5"/>
    <x v="0"/>
    <x v="5"/>
    <x v="0"/>
    <x v="13"/>
    <x v="14"/>
    <x v="20"/>
    <x v="9"/>
    <x v="3"/>
    <x v="6"/>
    <x v="5"/>
  </r>
  <r>
    <x v="740"/>
    <x v="33"/>
    <n v="1"/>
    <x v="1"/>
    <x v="6"/>
    <x v="0"/>
    <x v="5"/>
    <x v="0"/>
    <x v="13"/>
    <x v="14"/>
    <x v="21"/>
    <x v="16"/>
    <x v="3"/>
    <x v="87"/>
    <x v="21"/>
  </r>
  <r>
    <x v="741"/>
    <x v="33"/>
    <n v="1"/>
    <x v="1"/>
    <x v="7"/>
    <x v="0"/>
    <x v="5"/>
    <x v="0"/>
    <x v="14"/>
    <x v="16"/>
    <x v="20"/>
    <x v="14"/>
    <x v="5"/>
    <x v="132"/>
    <x v="90"/>
  </r>
  <r>
    <x v="742"/>
    <x v="33"/>
    <n v="1"/>
    <x v="1"/>
    <x v="8"/>
    <x v="0"/>
    <x v="5"/>
    <x v="0"/>
    <x v="14"/>
    <x v="16"/>
    <x v="20"/>
    <x v="16"/>
    <x v="17"/>
    <x v="103"/>
    <x v="104"/>
  </r>
  <r>
    <x v="743"/>
    <x v="33"/>
    <n v="1"/>
    <x v="1"/>
    <x v="9"/>
    <x v="0"/>
    <x v="5"/>
    <x v="0"/>
    <x v="13"/>
    <x v="14"/>
    <x v="19"/>
    <x v="9"/>
    <x v="15"/>
    <x v="69"/>
    <x v="140"/>
  </r>
  <r>
    <x v="744"/>
    <x v="33"/>
    <n v="1"/>
    <x v="1"/>
    <x v="10"/>
    <x v="0"/>
    <x v="5"/>
    <x v="0"/>
    <x v="15"/>
    <x v="20"/>
    <x v="21"/>
    <x v="14"/>
    <x v="4"/>
    <x v="54"/>
    <x v="46"/>
  </r>
  <r>
    <x v="745"/>
    <x v="33"/>
    <n v="1"/>
    <x v="1"/>
    <x v="11"/>
    <x v="0"/>
    <x v="5"/>
    <x v="0"/>
    <x v="15"/>
    <x v="14"/>
    <x v="21"/>
    <x v="15"/>
    <x v="14"/>
    <x v="11"/>
    <x v="37"/>
  </r>
  <r>
    <x v="746"/>
    <x v="33"/>
    <n v="1"/>
    <x v="1"/>
    <x v="12"/>
    <x v="0"/>
    <x v="5"/>
    <x v="0"/>
    <x v="2"/>
    <x v="18"/>
    <x v="22"/>
    <x v="16"/>
    <x v="4"/>
    <x v="28"/>
    <x v="83"/>
  </r>
  <r>
    <x v="747"/>
    <x v="33"/>
    <n v="1"/>
    <x v="1"/>
    <x v="13"/>
    <x v="0"/>
    <x v="5"/>
    <x v="0"/>
    <x v="2"/>
    <x v="17"/>
    <x v="22"/>
    <x v="17"/>
    <x v="17"/>
    <x v="12"/>
    <x v="41"/>
  </r>
  <r>
    <x v="748"/>
    <x v="33"/>
    <n v="1"/>
    <x v="1"/>
    <x v="14"/>
    <x v="0"/>
    <x v="5"/>
    <x v="0"/>
    <x v="1"/>
    <x v="13"/>
    <x v="38"/>
    <x v="18"/>
    <x v="17"/>
    <x v="30"/>
    <x v="105"/>
  </r>
  <r>
    <x v="749"/>
    <x v="33"/>
    <n v="1"/>
    <x v="1"/>
    <x v="15"/>
    <x v="0"/>
    <x v="5"/>
    <x v="0"/>
    <x v="1"/>
    <x v="13"/>
    <x v="38"/>
    <x v="14"/>
    <x v="17"/>
    <x v="90"/>
    <x v="122"/>
  </r>
  <r>
    <x v="750"/>
    <x v="33"/>
    <n v="1"/>
    <x v="1"/>
    <x v="16"/>
    <x v="0"/>
    <x v="5"/>
    <x v="0"/>
    <x v="1"/>
    <x v="12"/>
    <x v="38"/>
    <x v="7"/>
    <x v="2"/>
    <x v="26"/>
    <x v="53"/>
  </r>
  <r>
    <x v="751"/>
    <x v="33"/>
    <n v="1"/>
    <x v="1"/>
    <x v="17"/>
    <x v="0"/>
    <x v="5"/>
    <x v="0"/>
    <x v="2"/>
    <x v="13"/>
    <x v="22"/>
    <x v="10"/>
    <x v="2"/>
    <x v="162"/>
    <x v="172"/>
  </r>
  <r>
    <x v="752"/>
    <x v="33"/>
    <n v="1"/>
    <x v="1"/>
    <x v="18"/>
    <x v="0"/>
    <x v="5"/>
    <x v="0"/>
    <x v="2"/>
    <x v="12"/>
    <x v="22"/>
    <x v="13"/>
    <x v="4"/>
    <x v="142"/>
    <x v="173"/>
  </r>
  <r>
    <x v="753"/>
    <x v="33"/>
    <n v="1"/>
    <x v="1"/>
    <x v="19"/>
    <x v="0"/>
    <x v="5"/>
    <x v="0"/>
    <x v="2"/>
    <x v="2"/>
    <x v="22"/>
    <x v="70"/>
    <x v="17"/>
    <x v="50"/>
    <x v="152"/>
  </r>
  <r>
    <x v="754"/>
    <x v="33"/>
    <n v="1"/>
    <x v="1"/>
    <x v="20"/>
    <x v="0"/>
    <x v="5"/>
    <x v="0"/>
    <x v="2"/>
    <x v="11"/>
    <x v="19"/>
    <x v="3"/>
    <x v="5"/>
    <x v="123"/>
    <x v="142"/>
  </r>
  <r>
    <x v="755"/>
    <x v="33"/>
    <n v="1"/>
    <x v="1"/>
    <x v="21"/>
    <x v="0"/>
    <x v="5"/>
    <x v="0"/>
    <x v="15"/>
    <x v="12"/>
    <x v="28"/>
    <x v="19"/>
    <x v="5"/>
    <x v="42"/>
    <x v="60"/>
  </r>
  <r>
    <x v="756"/>
    <x v="33"/>
    <n v="1"/>
    <x v="1"/>
    <x v="22"/>
    <x v="0"/>
    <x v="5"/>
    <x v="0"/>
    <x v="15"/>
    <x v="12"/>
    <x v="33"/>
    <x v="3"/>
    <x v="4"/>
    <x v="87"/>
    <x v="102"/>
  </r>
  <r>
    <x v="757"/>
    <x v="33"/>
    <n v="1"/>
    <x v="1"/>
    <x v="23"/>
    <x v="0"/>
    <x v="5"/>
    <x v="0"/>
    <x v="2"/>
    <x v="11"/>
    <x v="19"/>
    <x v="19"/>
    <x v="17"/>
    <x v="60"/>
    <x v="103"/>
  </r>
  <r>
    <x v="758"/>
    <x v="34"/>
    <n v="1"/>
    <x v="1"/>
    <x v="0"/>
    <x v="0"/>
    <x v="6"/>
    <x v="1"/>
    <x v="2"/>
    <x v="2"/>
    <x v="18"/>
    <x v="71"/>
    <x v="0"/>
    <x v="3"/>
    <x v="3"/>
  </r>
  <r>
    <x v="759"/>
    <x v="34"/>
    <n v="1"/>
    <x v="1"/>
    <x v="1"/>
    <x v="0"/>
    <x v="6"/>
    <x v="1"/>
    <x v="13"/>
    <x v="11"/>
    <x v="29"/>
    <x v="25"/>
    <x v="3"/>
    <x v="7"/>
    <x v="85"/>
  </r>
  <r>
    <x v="760"/>
    <x v="34"/>
    <n v="1"/>
    <x v="1"/>
    <x v="2"/>
    <x v="0"/>
    <x v="6"/>
    <x v="1"/>
    <x v="14"/>
    <x v="17"/>
    <x v="30"/>
    <x v="19"/>
    <x v="3"/>
    <x v="4"/>
    <x v="4"/>
  </r>
  <r>
    <x v="761"/>
    <x v="34"/>
    <n v="1"/>
    <x v="1"/>
    <x v="3"/>
    <x v="0"/>
    <x v="6"/>
    <x v="1"/>
    <x v="14"/>
    <x v="17"/>
    <x v="30"/>
    <x v="19"/>
    <x v="3"/>
    <x v="4"/>
    <x v="4"/>
  </r>
  <r>
    <x v="762"/>
    <x v="34"/>
    <n v="1"/>
    <x v="1"/>
    <x v="5"/>
    <x v="0"/>
    <x v="6"/>
    <x v="1"/>
    <x v="14"/>
    <x v="20"/>
    <x v="30"/>
    <x v="12"/>
    <x v="3"/>
    <x v="7"/>
    <x v="85"/>
  </r>
  <r>
    <x v="763"/>
    <x v="34"/>
    <n v="1"/>
    <x v="1"/>
    <x v="6"/>
    <x v="0"/>
    <x v="6"/>
    <x v="1"/>
    <x v="13"/>
    <x v="11"/>
    <x v="28"/>
    <x v="36"/>
    <x v="4"/>
    <x v="16"/>
    <x v="20"/>
  </r>
  <r>
    <x v="764"/>
    <x v="34"/>
    <n v="1"/>
    <x v="1"/>
    <x v="7"/>
    <x v="0"/>
    <x v="6"/>
    <x v="0"/>
    <x v="14"/>
    <x v="12"/>
    <x v="29"/>
    <x v="72"/>
    <x v="3"/>
    <x v="61"/>
    <x v="90"/>
  </r>
  <r>
    <x v="765"/>
    <x v="34"/>
    <n v="1"/>
    <x v="1"/>
    <x v="8"/>
    <x v="0"/>
    <x v="6"/>
    <x v="0"/>
    <x v="14"/>
    <x v="20"/>
    <x v="32"/>
    <x v="12"/>
    <x v="0"/>
    <x v="163"/>
    <x v="174"/>
  </r>
  <r>
    <x v="766"/>
    <x v="34"/>
    <n v="1"/>
    <x v="1"/>
    <x v="9"/>
    <x v="0"/>
    <x v="6"/>
    <x v="1"/>
    <x v="13"/>
    <x v="18"/>
    <x v="1"/>
    <x v="12"/>
    <x v="0"/>
    <x v="125"/>
    <x v="175"/>
  </r>
  <r>
    <x v="767"/>
    <x v="34"/>
    <n v="1"/>
    <x v="1"/>
    <x v="10"/>
    <x v="0"/>
    <x v="6"/>
    <x v="1"/>
    <x v="2"/>
    <x v="12"/>
    <x v="33"/>
    <x v="12"/>
    <x v="2"/>
    <x v="24"/>
    <x v="41"/>
  </r>
  <r>
    <x v="768"/>
    <x v="34"/>
    <n v="1"/>
    <x v="1"/>
    <x v="11"/>
    <x v="0"/>
    <x v="6"/>
    <x v="0"/>
    <x v="1"/>
    <x v="11"/>
    <x v="33"/>
    <x v="13"/>
    <x v="0"/>
    <x v="124"/>
    <x v="37"/>
  </r>
  <r>
    <x v="769"/>
    <x v="34"/>
    <n v="1"/>
    <x v="1"/>
    <x v="12"/>
    <x v="0"/>
    <x v="6"/>
    <x v="1"/>
    <x v="0"/>
    <x v="19"/>
    <x v="37"/>
    <x v="13"/>
    <x v="1"/>
    <x v="78"/>
    <x v="80"/>
  </r>
  <r>
    <x v="770"/>
    <x v="34"/>
    <n v="1"/>
    <x v="1"/>
    <x v="13"/>
    <x v="0"/>
    <x v="6"/>
    <x v="1"/>
    <x v="12"/>
    <x v="2"/>
    <x v="20"/>
    <x v="11"/>
    <x v="14"/>
    <x v="26"/>
    <x v="100"/>
  </r>
  <r>
    <x v="771"/>
    <x v="34"/>
    <n v="1"/>
    <x v="1"/>
    <x v="14"/>
    <x v="0"/>
    <x v="6"/>
    <x v="1"/>
    <x v="17"/>
    <x v="1"/>
    <x v="49"/>
    <x v="13"/>
    <x v="13"/>
    <x v="83"/>
    <x v="134"/>
  </r>
  <r>
    <x v="772"/>
    <x v="34"/>
    <n v="1"/>
    <x v="1"/>
    <x v="15"/>
    <x v="0"/>
    <x v="6"/>
    <x v="1"/>
    <x v="17"/>
    <x v="1"/>
    <x v="37"/>
    <x v="7"/>
    <x v="14"/>
    <x v="38"/>
    <x v="127"/>
  </r>
  <r>
    <x v="773"/>
    <x v="34"/>
    <n v="1"/>
    <x v="1"/>
    <x v="16"/>
    <x v="0"/>
    <x v="6"/>
    <x v="1"/>
    <x v="11"/>
    <x v="0"/>
    <x v="16"/>
    <x v="11"/>
    <x v="1"/>
    <x v="164"/>
    <x v="111"/>
  </r>
  <r>
    <x v="774"/>
    <x v="34"/>
    <n v="1"/>
    <x v="1"/>
    <x v="17"/>
    <x v="0"/>
    <x v="6"/>
    <x v="1"/>
    <x v="12"/>
    <x v="1"/>
    <x v="34"/>
    <x v="12"/>
    <x v="22"/>
    <x v="165"/>
    <x v="176"/>
  </r>
  <r>
    <x v="775"/>
    <x v="34"/>
    <n v="1"/>
    <x v="1"/>
    <x v="18"/>
    <x v="0"/>
    <x v="6"/>
    <x v="1"/>
    <x v="0"/>
    <x v="2"/>
    <x v="54"/>
    <x v="19"/>
    <x v="0"/>
    <x v="166"/>
    <x v="107"/>
  </r>
  <r>
    <x v="776"/>
    <x v="34"/>
    <n v="1"/>
    <x v="1"/>
    <x v="19"/>
    <x v="0"/>
    <x v="6"/>
    <x v="1"/>
    <x v="0"/>
    <x v="19"/>
    <x v="55"/>
    <x v="12"/>
    <x v="5"/>
    <x v="46"/>
    <x v="153"/>
  </r>
  <r>
    <x v="777"/>
    <x v="34"/>
    <n v="1"/>
    <x v="1"/>
    <x v="20"/>
    <x v="0"/>
    <x v="6"/>
    <x v="1"/>
    <x v="0"/>
    <x v="19"/>
    <x v="55"/>
    <x v="13"/>
    <x v="4"/>
    <x v="94"/>
    <x v="68"/>
  </r>
  <r>
    <x v="778"/>
    <x v="34"/>
    <n v="1"/>
    <x v="1"/>
    <x v="21"/>
    <x v="0"/>
    <x v="6"/>
    <x v="1"/>
    <x v="0"/>
    <x v="19"/>
    <x v="56"/>
    <x v="13"/>
    <x v="4"/>
    <x v="40"/>
    <x v="74"/>
  </r>
  <r>
    <x v="779"/>
    <x v="34"/>
    <n v="1"/>
    <x v="1"/>
    <x v="22"/>
    <x v="0"/>
    <x v="6"/>
    <x v="1"/>
    <x v="0"/>
    <x v="19"/>
    <x v="55"/>
    <x v="13"/>
    <x v="5"/>
    <x v="108"/>
    <x v="66"/>
  </r>
  <r>
    <x v="780"/>
    <x v="34"/>
    <n v="1"/>
    <x v="1"/>
    <x v="23"/>
    <x v="0"/>
    <x v="6"/>
    <x v="1"/>
    <x v="0"/>
    <x v="19"/>
    <x v="56"/>
    <x v="12"/>
    <x v="5"/>
    <x v="10"/>
    <x v="35"/>
  </r>
  <r>
    <x v="781"/>
    <x v="35"/>
    <n v="1"/>
    <x v="1"/>
    <x v="0"/>
    <x v="0"/>
    <x v="0"/>
    <x v="1"/>
    <x v="0"/>
    <x v="19"/>
    <x v="56"/>
    <x v="13"/>
    <x v="0"/>
    <x v="49"/>
    <x v="21"/>
  </r>
  <r>
    <x v="782"/>
    <x v="35"/>
    <n v="1"/>
    <x v="1"/>
    <x v="1"/>
    <x v="0"/>
    <x v="0"/>
    <x v="1"/>
    <x v="0"/>
    <x v="19"/>
    <x v="55"/>
    <x v="13"/>
    <x v="5"/>
    <x v="19"/>
    <x v="109"/>
  </r>
  <r>
    <x v="783"/>
    <x v="35"/>
    <n v="1"/>
    <x v="1"/>
    <x v="2"/>
    <x v="0"/>
    <x v="0"/>
    <x v="1"/>
    <x v="0"/>
    <x v="19"/>
    <x v="2"/>
    <x v="13"/>
    <x v="2"/>
    <x v="98"/>
    <x v="22"/>
  </r>
  <r>
    <x v="784"/>
    <x v="35"/>
    <n v="1"/>
    <x v="1"/>
    <x v="3"/>
    <x v="0"/>
    <x v="0"/>
    <x v="1"/>
    <x v="0"/>
    <x v="19"/>
    <x v="2"/>
    <x v="13"/>
    <x v="5"/>
    <x v="3"/>
    <x v="62"/>
  </r>
  <r>
    <x v="785"/>
    <x v="35"/>
    <n v="1"/>
    <x v="1"/>
    <x v="4"/>
    <x v="0"/>
    <x v="0"/>
    <x v="2"/>
    <x v="1"/>
    <x v="11"/>
    <x v="43"/>
    <x v="12"/>
    <x v="3"/>
    <x v="21"/>
    <x v="7"/>
  </r>
  <r>
    <x v="786"/>
    <x v="35"/>
    <n v="1"/>
    <x v="1"/>
    <x v="5"/>
    <x v="0"/>
    <x v="0"/>
    <x v="2"/>
    <x v="2"/>
    <x v="11"/>
    <x v="11"/>
    <x v="3"/>
    <x v="3"/>
    <x v="33"/>
    <x v="23"/>
  </r>
  <r>
    <x v="787"/>
    <x v="35"/>
    <n v="1"/>
    <x v="1"/>
    <x v="6"/>
    <x v="0"/>
    <x v="0"/>
    <x v="2"/>
    <x v="2"/>
    <x v="2"/>
    <x v="11"/>
    <x v="73"/>
    <x v="3"/>
    <x v="22"/>
    <x v="48"/>
  </r>
  <r>
    <x v="788"/>
    <x v="35"/>
    <n v="1"/>
    <x v="1"/>
    <x v="7"/>
    <x v="0"/>
    <x v="0"/>
    <x v="2"/>
    <x v="1"/>
    <x v="2"/>
    <x v="43"/>
    <x v="3"/>
    <x v="3"/>
    <x v="22"/>
    <x v="48"/>
  </r>
  <r>
    <x v="789"/>
    <x v="35"/>
    <n v="1"/>
    <x v="1"/>
    <x v="8"/>
    <x v="0"/>
    <x v="0"/>
    <x v="2"/>
    <x v="2"/>
    <x v="11"/>
    <x v="11"/>
    <x v="3"/>
    <x v="3"/>
    <x v="3"/>
    <x v="98"/>
  </r>
  <r>
    <x v="790"/>
    <x v="35"/>
    <n v="1"/>
    <x v="1"/>
    <x v="9"/>
    <x v="0"/>
    <x v="0"/>
    <x v="2"/>
    <x v="2"/>
    <x v="11"/>
    <x v="11"/>
    <x v="3"/>
    <x v="0"/>
    <x v="19"/>
    <x v="25"/>
  </r>
  <r>
    <x v="791"/>
    <x v="35"/>
    <n v="1"/>
    <x v="1"/>
    <x v="10"/>
    <x v="0"/>
    <x v="0"/>
    <x v="2"/>
    <x v="2"/>
    <x v="12"/>
    <x v="11"/>
    <x v="12"/>
    <x v="0"/>
    <x v="17"/>
    <x v="19"/>
  </r>
  <r>
    <x v="792"/>
    <x v="35"/>
    <n v="1"/>
    <x v="1"/>
    <x v="11"/>
    <x v="0"/>
    <x v="0"/>
    <x v="2"/>
    <x v="1"/>
    <x v="11"/>
    <x v="11"/>
    <x v="12"/>
    <x v="5"/>
    <x v="24"/>
    <x v="105"/>
  </r>
  <r>
    <x v="793"/>
    <x v="35"/>
    <n v="1"/>
    <x v="1"/>
    <x v="12"/>
    <x v="0"/>
    <x v="0"/>
    <x v="2"/>
    <x v="1"/>
    <x v="11"/>
    <x v="11"/>
    <x v="13"/>
    <x v="22"/>
    <x v="76"/>
    <x v="46"/>
  </r>
  <r>
    <x v="794"/>
    <x v="35"/>
    <n v="1"/>
    <x v="1"/>
    <x v="13"/>
    <x v="0"/>
    <x v="0"/>
    <x v="2"/>
    <x v="1"/>
    <x v="11"/>
    <x v="11"/>
    <x v="13"/>
    <x v="22"/>
    <x v="133"/>
    <x v="44"/>
  </r>
  <r>
    <x v="795"/>
    <x v="35"/>
    <n v="1"/>
    <x v="1"/>
    <x v="14"/>
    <x v="0"/>
    <x v="0"/>
    <x v="2"/>
    <x v="1"/>
    <x v="1"/>
    <x v="11"/>
    <x v="69"/>
    <x v="2"/>
    <x v="54"/>
    <x v="97"/>
  </r>
  <r>
    <x v="796"/>
    <x v="35"/>
    <n v="1"/>
    <x v="1"/>
    <x v="15"/>
    <x v="0"/>
    <x v="0"/>
    <x v="2"/>
    <x v="1"/>
    <x v="1"/>
    <x v="11"/>
    <x v="69"/>
    <x v="16"/>
    <x v="47"/>
    <x v="122"/>
  </r>
  <r>
    <x v="797"/>
    <x v="35"/>
    <n v="1"/>
    <x v="1"/>
    <x v="16"/>
    <x v="0"/>
    <x v="0"/>
    <x v="2"/>
    <x v="1"/>
    <x v="11"/>
    <x v="11"/>
    <x v="12"/>
    <x v="1"/>
    <x v="36"/>
    <x v="68"/>
  </r>
  <r>
    <x v="798"/>
    <x v="35"/>
    <n v="1"/>
    <x v="1"/>
    <x v="17"/>
    <x v="0"/>
    <x v="0"/>
    <x v="1"/>
    <x v="0"/>
    <x v="12"/>
    <x v="11"/>
    <x v="8"/>
    <x v="24"/>
    <x v="27"/>
    <x v="53"/>
  </r>
  <r>
    <x v="799"/>
    <x v="35"/>
    <n v="1"/>
    <x v="1"/>
    <x v="18"/>
    <x v="0"/>
    <x v="0"/>
    <x v="1"/>
    <x v="17"/>
    <x v="19"/>
    <x v="43"/>
    <x v="15"/>
    <x v="4"/>
    <x v="38"/>
    <x v="56"/>
  </r>
  <r>
    <x v="800"/>
    <x v="35"/>
    <n v="1"/>
    <x v="1"/>
    <x v="19"/>
    <x v="0"/>
    <x v="0"/>
    <x v="1"/>
    <x v="17"/>
    <x v="19"/>
    <x v="43"/>
    <x v="15"/>
    <x v="15"/>
    <x v="78"/>
    <x v="11"/>
  </r>
  <r>
    <x v="801"/>
    <x v="35"/>
    <n v="1"/>
    <x v="1"/>
    <x v="20"/>
    <x v="0"/>
    <x v="0"/>
    <x v="0"/>
    <x v="11"/>
    <x v="0"/>
    <x v="9"/>
    <x v="7"/>
    <x v="2"/>
    <x v="27"/>
    <x v="83"/>
  </r>
  <r>
    <x v="802"/>
    <x v="35"/>
    <n v="1"/>
    <x v="1"/>
    <x v="21"/>
    <x v="0"/>
    <x v="0"/>
    <x v="0"/>
    <x v="12"/>
    <x v="2"/>
    <x v="11"/>
    <x v="10"/>
    <x v="0"/>
    <x v="42"/>
    <x v="10"/>
  </r>
  <r>
    <x v="803"/>
    <x v="35"/>
    <n v="1"/>
    <x v="1"/>
    <x v="22"/>
    <x v="0"/>
    <x v="0"/>
    <x v="0"/>
    <x v="12"/>
    <x v="1"/>
    <x v="43"/>
    <x v="12"/>
    <x v="4"/>
    <x v="30"/>
    <x v="79"/>
  </r>
  <r>
    <x v="804"/>
    <x v="35"/>
    <n v="1"/>
    <x v="1"/>
    <x v="23"/>
    <x v="0"/>
    <x v="0"/>
    <x v="0"/>
    <x v="12"/>
    <x v="2"/>
    <x v="43"/>
    <x v="11"/>
    <x v="18"/>
    <x v="15"/>
    <x v="29"/>
  </r>
  <r>
    <x v="805"/>
    <x v="36"/>
    <n v="1"/>
    <x v="1"/>
    <x v="0"/>
    <x v="0"/>
    <x v="1"/>
    <x v="0"/>
    <x v="12"/>
    <x v="2"/>
    <x v="56"/>
    <x v="10"/>
    <x v="4"/>
    <x v="53"/>
    <x v="21"/>
  </r>
  <r>
    <x v="806"/>
    <x v="36"/>
    <n v="1"/>
    <x v="1"/>
    <x v="1"/>
    <x v="0"/>
    <x v="1"/>
    <x v="0"/>
    <x v="12"/>
    <x v="11"/>
    <x v="55"/>
    <x v="17"/>
    <x v="17"/>
    <x v="71"/>
    <x v="40"/>
  </r>
  <r>
    <x v="807"/>
    <x v="36"/>
    <n v="1"/>
    <x v="1"/>
    <x v="2"/>
    <x v="0"/>
    <x v="1"/>
    <x v="0"/>
    <x v="12"/>
    <x v="11"/>
    <x v="54"/>
    <x v="14"/>
    <x v="3"/>
    <x v="32"/>
    <x v="25"/>
  </r>
  <r>
    <x v="808"/>
    <x v="36"/>
    <n v="1"/>
    <x v="1"/>
    <x v="3"/>
    <x v="0"/>
    <x v="1"/>
    <x v="0"/>
    <x v="12"/>
    <x v="0"/>
    <x v="54"/>
    <x v="3"/>
    <x v="0"/>
    <x v="3"/>
    <x v="3"/>
  </r>
  <r>
    <x v="809"/>
    <x v="36"/>
    <n v="1"/>
    <x v="1"/>
    <x v="4"/>
    <x v="0"/>
    <x v="1"/>
    <x v="0"/>
    <x v="12"/>
    <x v="11"/>
    <x v="54"/>
    <x v="16"/>
    <x v="3"/>
    <x v="6"/>
    <x v="5"/>
  </r>
  <r>
    <x v="810"/>
    <x v="36"/>
    <n v="1"/>
    <x v="1"/>
    <x v="5"/>
    <x v="0"/>
    <x v="1"/>
    <x v="0"/>
    <x v="12"/>
    <x v="2"/>
    <x v="54"/>
    <x v="11"/>
    <x v="3"/>
    <x v="4"/>
    <x v="4"/>
  </r>
  <r>
    <x v="811"/>
    <x v="36"/>
    <n v="1"/>
    <x v="1"/>
    <x v="6"/>
    <x v="0"/>
    <x v="1"/>
    <x v="0"/>
    <x v="12"/>
    <x v="2"/>
    <x v="54"/>
    <x v="11"/>
    <x v="3"/>
    <x v="4"/>
    <x v="4"/>
  </r>
  <r>
    <x v="812"/>
    <x v="36"/>
    <n v="1"/>
    <x v="1"/>
    <x v="7"/>
    <x v="0"/>
    <x v="1"/>
    <x v="0"/>
    <x v="0"/>
    <x v="19"/>
    <x v="55"/>
    <x v="13"/>
    <x v="3"/>
    <x v="21"/>
    <x v="7"/>
  </r>
  <r>
    <x v="813"/>
    <x v="36"/>
    <n v="1"/>
    <x v="1"/>
    <x v="8"/>
    <x v="0"/>
    <x v="1"/>
    <x v="0"/>
    <x v="0"/>
    <x v="2"/>
    <x v="55"/>
    <x v="19"/>
    <x v="4"/>
    <x v="144"/>
    <x v="84"/>
  </r>
  <r>
    <x v="814"/>
    <x v="36"/>
    <n v="1"/>
    <x v="1"/>
    <x v="9"/>
    <x v="0"/>
    <x v="1"/>
    <x v="0"/>
    <x v="17"/>
    <x v="0"/>
    <x v="34"/>
    <x v="19"/>
    <x v="18"/>
    <x v="101"/>
    <x v="79"/>
  </r>
  <r>
    <x v="815"/>
    <x v="36"/>
    <n v="1"/>
    <x v="1"/>
    <x v="10"/>
    <x v="0"/>
    <x v="1"/>
    <x v="0"/>
    <x v="11"/>
    <x v="0"/>
    <x v="35"/>
    <x v="7"/>
    <x v="13"/>
    <x v="64"/>
    <x v="70"/>
  </r>
  <r>
    <x v="816"/>
    <x v="36"/>
    <n v="1"/>
    <x v="1"/>
    <x v="11"/>
    <x v="0"/>
    <x v="1"/>
    <x v="0"/>
    <x v="3"/>
    <x v="25"/>
    <x v="36"/>
    <x v="7"/>
    <x v="32"/>
    <x v="121"/>
    <x v="126"/>
  </r>
  <r>
    <x v="817"/>
    <x v="36"/>
    <n v="1"/>
    <x v="1"/>
    <x v="12"/>
    <x v="0"/>
    <x v="1"/>
    <x v="0"/>
    <x v="10"/>
    <x v="6"/>
    <x v="15"/>
    <x v="74"/>
    <x v="33"/>
    <x v="167"/>
    <x v="177"/>
  </r>
  <r>
    <x v="818"/>
    <x v="36"/>
    <n v="1"/>
    <x v="1"/>
    <x v="13"/>
    <x v="0"/>
    <x v="1"/>
    <x v="0"/>
    <x v="10"/>
    <x v="30"/>
    <x v="15"/>
    <x v="75"/>
    <x v="9"/>
    <x v="113"/>
    <x v="58"/>
  </r>
  <r>
    <x v="819"/>
    <x v="36"/>
    <n v="1"/>
    <x v="1"/>
    <x v="14"/>
    <x v="0"/>
    <x v="1"/>
    <x v="0"/>
    <x v="10"/>
    <x v="4"/>
    <x v="15"/>
    <x v="3"/>
    <x v="9"/>
    <x v="156"/>
    <x v="143"/>
  </r>
  <r>
    <x v="820"/>
    <x v="36"/>
    <n v="1"/>
    <x v="1"/>
    <x v="15"/>
    <x v="0"/>
    <x v="1"/>
    <x v="0"/>
    <x v="10"/>
    <x v="4"/>
    <x v="15"/>
    <x v="3"/>
    <x v="34"/>
    <x v="110"/>
    <x v="58"/>
  </r>
  <r>
    <x v="821"/>
    <x v="36"/>
    <n v="1"/>
    <x v="1"/>
    <x v="16"/>
    <x v="0"/>
    <x v="1"/>
    <x v="0"/>
    <x v="10"/>
    <x v="4"/>
    <x v="36"/>
    <x v="19"/>
    <x v="35"/>
    <x v="168"/>
    <x v="45"/>
  </r>
  <r>
    <x v="822"/>
    <x v="36"/>
    <n v="1"/>
    <x v="1"/>
    <x v="17"/>
    <x v="0"/>
    <x v="1"/>
    <x v="0"/>
    <x v="10"/>
    <x v="30"/>
    <x v="15"/>
    <x v="75"/>
    <x v="31"/>
    <x v="106"/>
    <x v="178"/>
  </r>
  <r>
    <x v="823"/>
    <x v="36"/>
    <n v="1"/>
    <x v="1"/>
    <x v="18"/>
    <x v="0"/>
    <x v="1"/>
    <x v="0"/>
    <x v="11"/>
    <x v="25"/>
    <x v="34"/>
    <x v="13"/>
    <x v="23"/>
    <x v="65"/>
    <x v="53"/>
  </r>
  <r>
    <x v="824"/>
    <x v="36"/>
    <n v="1"/>
    <x v="1"/>
    <x v="19"/>
    <x v="0"/>
    <x v="1"/>
    <x v="0"/>
    <x v="17"/>
    <x v="0"/>
    <x v="53"/>
    <x v="12"/>
    <x v="5"/>
    <x v="32"/>
    <x v="137"/>
  </r>
  <r>
    <x v="825"/>
    <x v="36"/>
    <n v="1"/>
    <x v="1"/>
    <x v="20"/>
    <x v="0"/>
    <x v="1"/>
    <x v="0"/>
    <x v="17"/>
    <x v="0"/>
    <x v="53"/>
    <x v="19"/>
    <x v="2"/>
    <x v="144"/>
    <x v="132"/>
  </r>
  <r>
    <x v="826"/>
    <x v="36"/>
    <n v="1"/>
    <x v="1"/>
    <x v="21"/>
    <x v="0"/>
    <x v="1"/>
    <x v="0"/>
    <x v="12"/>
    <x v="25"/>
    <x v="54"/>
    <x v="76"/>
    <x v="2"/>
    <x v="97"/>
    <x v="110"/>
  </r>
  <r>
    <x v="827"/>
    <x v="36"/>
    <n v="1"/>
    <x v="1"/>
    <x v="22"/>
    <x v="0"/>
    <x v="1"/>
    <x v="0"/>
    <x v="12"/>
    <x v="25"/>
    <x v="54"/>
    <x v="76"/>
    <x v="2"/>
    <x v="77"/>
    <x v="69"/>
  </r>
  <r>
    <x v="828"/>
    <x v="36"/>
    <n v="1"/>
    <x v="1"/>
    <x v="23"/>
    <x v="0"/>
    <x v="1"/>
    <x v="0"/>
    <x v="0"/>
    <x v="0"/>
    <x v="55"/>
    <x v="77"/>
    <x v="17"/>
    <x v="16"/>
    <x v="33"/>
  </r>
  <r>
    <x v="829"/>
    <x v="37"/>
    <n v="1"/>
    <x v="1"/>
    <x v="0"/>
    <x v="0"/>
    <x v="2"/>
    <x v="0"/>
    <x v="0"/>
    <x v="0"/>
    <x v="55"/>
    <x v="77"/>
    <x v="5"/>
    <x v="88"/>
    <x v="93"/>
  </r>
  <r>
    <x v="830"/>
    <x v="37"/>
    <n v="1"/>
    <x v="1"/>
    <x v="1"/>
    <x v="0"/>
    <x v="2"/>
    <x v="0"/>
    <x v="1"/>
    <x v="1"/>
    <x v="2"/>
    <x v="66"/>
    <x v="5"/>
    <x v="22"/>
    <x v="36"/>
  </r>
  <r>
    <x v="831"/>
    <x v="37"/>
    <n v="1"/>
    <x v="1"/>
    <x v="2"/>
    <x v="0"/>
    <x v="2"/>
    <x v="0"/>
    <x v="2"/>
    <x v="2"/>
    <x v="1"/>
    <x v="78"/>
    <x v="3"/>
    <x v="35"/>
    <x v="6"/>
  </r>
  <r>
    <x v="832"/>
    <x v="37"/>
    <n v="1"/>
    <x v="1"/>
    <x v="3"/>
    <x v="0"/>
    <x v="2"/>
    <x v="0"/>
    <x v="2"/>
    <x v="2"/>
    <x v="3"/>
    <x v="4"/>
    <x v="3"/>
    <x v="4"/>
    <x v="4"/>
  </r>
  <r>
    <x v="833"/>
    <x v="37"/>
    <n v="1"/>
    <x v="1"/>
    <x v="4"/>
    <x v="0"/>
    <x v="2"/>
    <x v="0"/>
    <x v="2"/>
    <x v="2"/>
    <x v="3"/>
    <x v="4"/>
    <x v="5"/>
    <x v="4"/>
    <x v="5"/>
  </r>
  <r>
    <x v="834"/>
    <x v="37"/>
    <n v="1"/>
    <x v="1"/>
    <x v="5"/>
    <x v="0"/>
    <x v="2"/>
    <x v="0"/>
    <x v="2"/>
    <x v="2"/>
    <x v="3"/>
    <x v="4"/>
    <x v="5"/>
    <x v="33"/>
    <x v="98"/>
  </r>
  <r>
    <x v="835"/>
    <x v="37"/>
    <n v="1"/>
    <x v="1"/>
    <x v="6"/>
    <x v="0"/>
    <x v="2"/>
    <x v="0"/>
    <x v="15"/>
    <x v="19"/>
    <x v="43"/>
    <x v="79"/>
    <x v="5"/>
    <x v="31"/>
    <x v="33"/>
  </r>
  <r>
    <x v="836"/>
    <x v="37"/>
    <n v="1"/>
    <x v="1"/>
    <x v="7"/>
    <x v="0"/>
    <x v="2"/>
    <x v="0"/>
    <x v="15"/>
    <x v="19"/>
    <x v="3"/>
    <x v="68"/>
    <x v="15"/>
    <x v="121"/>
    <x v="76"/>
  </r>
  <r>
    <x v="837"/>
    <x v="37"/>
    <n v="1"/>
    <x v="1"/>
    <x v="8"/>
    <x v="0"/>
    <x v="2"/>
    <x v="1"/>
    <x v="13"/>
    <x v="11"/>
    <x v="11"/>
    <x v="80"/>
    <x v="18"/>
    <x v="169"/>
    <x v="179"/>
  </r>
  <r>
    <x v="838"/>
    <x v="37"/>
    <n v="1"/>
    <x v="1"/>
    <x v="9"/>
    <x v="0"/>
    <x v="2"/>
    <x v="0"/>
    <x v="1"/>
    <x v="1"/>
    <x v="1"/>
    <x v="1"/>
    <x v="0"/>
    <x v="168"/>
    <x v="130"/>
  </r>
  <r>
    <x v="839"/>
    <x v="37"/>
    <n v="1"/>
    <x v="1"/>
    <x v="10"/>
    <x v="0"/>
    <x v="2"/>
    <x v="0"/>
    <x v="0"/>
    <x v="2"/>
    <x v="2"/>
    <x v="19"/>
    <x v="15"/>
    <x v="47"/>
    <x v="97"/>
  </r>
  <r>
    <x v="840"/>
    <x v="37"/>
    <n v="1"/>
    <x v="1"/>
    <x v="11"/>
    <x v="0"/>
    <x v="2"/>
    <x v="0"/>
    <x v="11"/>
    <x v="21"/>
    <x v="55"/>
    <x v="3"/>
    <x v="16"/>
    <x v="49"/>
    <x v="105"/>
  </r>
  <r>
    <x v="841"/>
    <x v="37"/>
    <n v="1"/>
    <x v="1"/>
    <x v="12"/>
    <x v="0"/>
    <x v="2"/>
    <x v="1"/>
    <x v="3"/>
    <x v="4"/>
    <x v="51"/>
    <x v="81"/>
    <x v="18"/>
    <x v="79"/>
    <x v="180"/>
  </r>
  <r>
    <x v="842"/>
    <x v="37"/>
    <n v="1"/>
    <x v="1"/>
    <x v="13"/>
    <x v="0"/>
    <x v="2"/>
    <x v="1"/>
    <x v="5"/>
    <x v="30"/>
    <x v="14"/>
    <x v="3"/>
    <x v="22"/>
    <x v="25"/>
    <x v="37"/>
  </r>
  <r>
    <x v="843"/>
    <x v="37"/>
    <n v="1"/>
    <x v="1"/>
    <x v="14"/>
    <x v="0"/>
    <x v="2"/>
    <x v="1"/>
    <x v="5"/>
    <x v="30"/>
    <x v="14"/>
    <x v="3"/>
    <x v="1"/>
    <x v="15"/>
    <x v="122"/>
  </r>
  <r>
    <x v="844"/>
    <x v="37"/>
    <n v="1"/>
    <x v="1"/>
    <x v="15"/>
    <x v="0"/>
    <x v="2"/>
    <x v="1"/>
    <x v="4"/>
    <x v="5"/>
    <x v="47"/>
    <x v="3"/>
    <x v="17"/>
    <x v="24"/>
    <x v="89"/>
  </r>
  <r>
    <x v="845"/>
    <x v="37"/>
    <n v="1"/>
    <x v="1"/>
    <x v="16"/>
    <x v="0"/>
    <x v="2"/>
    <x v="1"/>
    <x v="5"/>
    <x v="4"/>
    <x v="14"/>
    <x v="12"/>
    <x v="19"/>
    <x v="52"/>
    <x v="181"/>
  </r>
  <r>
    <x v="846"/>
    <x v="37"/>
    <n v="1"/>
    <x v="1"/>
    <x v="17"/>
    <x v="0"/>
    <x v="2"/>
    <x v="1"/>
    <x v="3"/>
    <x v="21"/>
    <x v="56"/>
    <x v="13"/>
    <x v="14"/>
    <x v="134"/>
    <x v="182"/>
  </r>
  <r>
    <x v="847"/>
    <x v="37"/>
    <n v="1"/>
    <x v="1"/>
    <x v="18"/>
    <x v="0"/>
    <x v="2"/>
    <x v="1"/>
    <x v="10"/>
    <x v="6"/>
    <x v="13"/>
    <x v="12"/>
    <x v="2"/>
    <x v="162"/>
    <x v="172"/>
  </r>
  <r>
    <x v="848"/>
    <x v="37"/>
    <n v="1"/>
    <x v="1"/>
    <x v="19"/>
    <x v="0"/>
    <x v="2"/>
    <x v="1"/>
    <x v="3"/>
    <x v="4"/>
    <x v="56"/>
    <x v="82"/>
    <x v="2"/>
    <x v="170"/>
    <x v="116"/>
  </r>
  <r>
    <x v="849"/>
    <x v="37"/>
    <n v="1"/>
    <x v="1"/>
    <x v="20"/>
    <x v="0"/>
    <x v="2"/>
    <x v="1"/>
    <x v="3"/>
    <x v="6"/>
    <x v="56"/>
    <x v="19"/>
    <x v="15"/>
    <x v="70"/>
    <x v="39"/>
  </r>
  <r>
    <x v="850"/>
    <x v="37"/>
    <n v="1"/>
    <x v="1"/>
    <x v="21"/>
    <x v="0"/>
    <x v="2"/>
    <x v="0"/>
    <x v="3"/>
    <x v="4"/>
    <x v="56"/>
    <x v="82"/>
    <x v="0"/>
    <x v="102"/>
    <x v="53"/>
  </r>
  <r>
    <x v="851"/>
    <x v="37"/>
    <n v="1"/>
    <x v="1"/>
    <x v="22"/>
    <x v="0"/>
    <x v="2"/>
    <x v="0"/>
    <x v="17"/>
    <x v="25"/>
    <x v="0"/>
    <x v="3"/>
    <x v="0"/>
    <x v="60"/>
    <x v="18"/>
  </r>
  <r>
    <x v="852"/>
    <x v="37"/>
    <n v="1"/>
    <x v="1"/>
    <x v="23"/>
    <x v="0"/>
    <x v="2"/>
    <x v="1"/>
    <x v="11"/>
    <x v="6"/>
    <x v="0"/>
    <x v="83"/>
    <x v="15"/>
    <x v="23"/>
    <x v="94"/>
  </r>
  <r>
    <x v="853"/>
    <x v="38"/>
    <n v="1"/>
    <x v="1"/>
    <x v="0"/>
    <x v="0"/>
    <x v="3"/>
    <x v="1"/>
    <x v="17"/>
    <x v="21"/>
    <x v="9"/>
    <x v="84"/>
    <x v="17"/>
    <x v="8"/>
    <x v="98"/>
  </r>
  <r>
    <x v="854"/>
    <x v="38"/>
    <n v="1"/>
    <x v="1"/>
    <x v="1"/>
    <x v="0"/>
    <x v="3"/>
    <x v="1"/>
    <x v="17"/>
    <x v="21"/>
    <x v="9"/>
    <x v="84"/>
    <x v="3"/>
    <x v="22"/>
    <x v="48"/>
  </r>
  <r>
    <x v="855"/>
    <x v="38"/>
    <n v="1"/>
    <x v="1"/>
    <x v="2"/>
    <x v="0"/>
    <x v="3"/>
    <x v="1"/>
    <x v="12"/>
    <x v="1"/>
    <x v="43"/>
    <x v="19"/>
    <x v="5"/>
    <x v="4"/>
    <x v="5"/>
  </r>
  <r>
    <x v="856"/>
    <x v="38"/>
    <n v="1"/>
    <x v="1"/>
    <x v="3"/>
    <x v="0"/>
    <x v="3"/>
    <x v="2"/>
    <x v="17"/>
    <x v="1"/>
    <x v="43"/>
    <x v="13"/>
    <x v="3"/>
    <x v="4"/>
    <x v="4"/>
  </r>
  <r>
    <x v="857"/>
    <x v="38"/>
    <n v="1"/>
    <x v="1"/>
    <x v="4"/>
    <x v="0"/>
    <x v="3"/>
    <x v="0"/>
    <x v="12"/>
    <x v="2"/>
    <x v="43"/>
    <x v="13"/>
    <x v="3"/>
    <x v="35"/>
    <x v="6"/>
  </r>
  <r>
    <x v="858"/>
    <x v="38"/>
    <n v="1"/>
    <x v="1"/>
    <x v="5"/>
    <x v="0"/>
    <x v="3"/>
    <x v="0"/>
    <x v="12"/>
    <x v="11"/>
    <x v="0"/>
    <x v="14"/>
    <x v="3"/>
    <x v="6"/>
    <x v="5"/>
  </r>
  <r>
    <x v="859"/>
    <x v="38"/>
    <n v="1"/>
    <x v="1"/>
    <x v="6"/>
    <x v="0"/>
    <x v="3"/>
    <x v="0"/>
    <x v="12"/>
    <x v="11"/>
    <x v="56"/>
    <x v="14"/>
    <x v="3"/>
    <x v="87"/>
    <x v="21"/>
  </r>
  <r>
    <x v="860"/>
    <x v="38"/>
    <n v="1"/>
    <x v="1"/>
    <x v="7"/>
    <x v="0"/>
    <x v="3"/>
    <x v="0"/>
    <x v="0"/>
    <x v="13"/>
    <x v="55"/>
    <x v="17"/>
    <x v="0"/>
    <x v="106"/>
    <x v="50"/>
  </r>
  <r>
    <x v="861"/>
    <x v="38"/>
    <n v="1"/>
    <x v="1"/>
    <x v="8"/>
    <x v="0"/>
    <x v="3"/>
    <x v="0"/>
    <x v="0"/>
    <x v="13"/>
    <x v="34"/>
    <x v="32"/>
    <x v="18"/>
    <x v="171"/>
    <x v="183"/>
  </r>
  <r>
    <x v="862"/>
    <x v="38"/>
    <n v="1"/>
    <x v="1"/>
    <x v="9"/>
    <x v="0"/>
    <x v="3"/>
    <x v="0"/>
    <x v="0"/>
    <x v="13"/>
    <x v="35"/>
    <x v="32"/>
    <x v="18"/>
    <x v="172"/>
    <x v="169"/>
  </r>
  <r>
    <x v="863"/>
    <x v="38"/>
    <n v="1"/>
    <x v="1"/>
    <x v="10"/>
    <x v="0"/>
    <x v="3"/>
    <x v="0"/>
    <x v="1"/>
    <x v="18"/>
    <x v="19"/>
    <x v="33"/>
    <x v="17"/>
    <x v="100"/>
    <x v="61"/>
  </r>
  <r>
    <x v="864"/>
    <x v="38"/>
    <n v="1"/>
    <x v="1"/>
    <x v="11"/>
    <x v="0"/>
    <x v="3"/>
    <x v="0"/>
    <x v="1"/>
    <x v="18"/>
    <x v="19"/>
    <x v="34"/>
    <x v="5"/>
    <x v="47"/>
    <x v="89"/>
  </r>
  <r>
    <x v="865"/>
    <x v="38"/>
    <n v="1"/>
    <x v="1"/>
    <x v="12"/>
    <x v="0"/>
    <x v="3"/>
    <x v="0"/>
    <x v="0"/>
    <x v="13"/>
    <x v="41"/>
    <x v="32"/>
    <x v="4"/>
    <x v="36"/>
    <x v="32"/>
  </r>
  <r>
    <x v="866"/>
    <x v="38"/>
    <n v="1"/>
    <x v="1"/>
    <x v="13"/>
    <x v="0"/>
    <x v="3"/>
    <x v="1"/>
    <x v="0"/>
    <x v="13"/>
    <x v="25"/>
    <x v="15"/>
    <x v="4"/>
    <x v="41"/>
    <x v="89"/>
  </r>
  <r>
    <x v="867"/>
    <x v="38"/>
    <n v="1"/>
    <x v="1"/>
    <x v="14"/>
    <x v="0"/>
    <x v="3"/>
    <x v="0"/>
    <x v="1"/>
    <x v="13"/>
    <x v="38"/>
    <x v="17"/>
    <x v="0"/>
    <x v="124"/>
    <x v="37"/>
  </r>
  <r>
    <x v="868"/>
    <x v="38"/>
    <n v="1"/>
    <x v="1"/>
    <x v="15"/>
    <x v="0"/>
    <x v="3"/>
    <x v="0"/>
    <x v="1"/>
    <x v="13"/>
    <x v="23"/>
    <x v="18"/>
    <x v="15"/>
    <x v="108"/>
    <x v="41"/>
  </r>
  <r>
    <x v="869"/>
    <x v="38"/>
    <n v="1"/>
    <x v="1"/>
    <x v="16"/>
    <x v="0"/>
    <x v="3"/>
    <x v="0"/>
    <x v="1"/>
    <x v="18"/>
    <x v="23"/>
    <x v="35"/>
    <x v="17"/>
    <x v="55"/>
    <x v="56"/>
  </r>
  <r>
    <x v="870"/>
    <x v="38"/>
    <n v="1"/>
    <x v="1"/>
    <x v="17"/>
    <x v="0"/>
    <x v="3"/>
    <x v="0"/>
    <x v="1"/>
    <x v="18"/>
    <x v="25"/>
    <x v="38"/>
    <x v="17"/>
    <x v="157"/>
    <x v="170"/>
  </r>
  <r>
    <x v="871"/>
    <x v="38"/>
    <n v="1"/>
    <x v="1"/>
    <x v="18"/>
    <x v="0"/>
    <x v="3"/>
    <x v="0"/>
    <x v="2"/>
    <x v="18"/>
    <x v="25"/>
    <x v="18"/>
    <x v="5"/>
    <x v="137"/>
    <x v="148"/>
  </r>
  <r>
    <x v="872"/>
    <x v="38"/>
    <n v="1"/>
    <x v="1"/>
    <x v="19"/>
    <x v="0"/>
    <x v="3"/>
    <x v="0"/>
    <x v="13"/>
    <x v="16"/>
    <x v="22"/>
    <x v="34"/>
    <x v="5"/>
    <x v="129"/>
    <x v="129"/>
  </r>
  <r>
    <x v="873"/>
    <x v="38"/>
    <n v="1"/>
    <x v="1"/>
    <x v="20"/>
    <x v="0"/>
    <x v="3"/>
    <x v="0"/>
    <x v="13"/>
    <x v="14"/>
    <x v="22"/>
    <x v="14"/>
    <x v="0"/>
    <x v="42"/>
    <x v="10"/>
  </r>
  <r>
    <x v="874"/>
    <x v="38"/>
    <n v="1"/>
    <x v="1"/>
    <x v="21"/>
    <x v="0"/>
    <x v="3"/>
    <x v="0"/>
    <x v="14"/>
    <x v="15"/>
    <x v="39"/>
    <x v="34"/>
    <x v="1"/>
    <x v="24"/>
    <x v="60"/>
  </r>
  <r>
    <x v="875"/>
    <x v="38"/>
    <n v="1"/>
    <x v="1"/>
    <x v="22"/>
    <x v="0"/>
    <x v="3"/>
    <x v="0"/>
    <x v="16"/>
    <x v="15"/>
    <x v="39"/>
    <x v="16"/>
    <x v="3"/>
    <x v="31"/>
    <x v="115"/>
  </r>
  <r>
    <x v="876"/>
    <x v="38"/>
    <n v="1"/>
    <x v="1"/>
    <x v="23"/>
    <x v="0"/>
    <x v="3"/>
    <x v="0"/>
    <x v="16"/>
    <x v="15"/>
    <x v="39"/>
    <x v="14"/>
    <x v="0"/>
    <x v="33"/>
    <x v="47"/>
  </r>
  <r>
    <x v="877"/>
    <x v="39"/>
    <n v="1"/>
    <x v="1"/>
    <x v="0"/>
    <x v="0"/>
    <x v="4"/>
    <x v="0"/>
    <x v="18"/>
    <x v="23"/>
    <x v="42"/>
    <x v="16"/>
    <x v="3"/>
    <x v="19"/>
    <x v="22"/>
  </r>
  <r>
    <x v="878"/>
    <x v="39"/>
    <n v="1"/>
    <x v="1"/>
    <x v="1"/>
    <x v="0"/>
    <x v="4"/>
    <x v="0"/>
    <x v="18"/>
    <x v="15"/>
    <x v="42"/>
    <x v="11"/>
    <x v="3"/>
    <x v="7"/>
    <x v="85"/>
  </r>
  <r>
    <x v="879"/>
    <x v="39"/>
    <n v="1"/>
    <x v="1"/>
    <x v="2"/>
    <x v="0"/>
    <x v="4"/>
    <x v="0"/>
    <x v="19"/>
    <x v="23"/>
    <x v="41"/>
    <x v="8"/>
    <x v="5"/>
    <x v="6"/>
    <x v="6"/>
  </r>
  <r>
    <x v="880"/>
    <x v="39"/>
    <n v="1"/>
    <x v="1"/>
    <x v="3"/>
    <x v="0"/>
    <x v="4"/>
    <x v="0"/>
    <x v="20"/>
    <x v="23"/>
    <x v="49"/>
    <x v="12"/>
    <x v="3"/>
    <x v="6"/>
    <x v="5"/>
  </r>
  <r>
    <x v="881"/>
    <x v="39"/>
    <n v="1"/>
    <x v="1"/>
    <x v="5"/>
    <x v="0"/>
    <x v="4"/>
    <x v="0"/>
    <x v="20"/>
    <x v="15"/>
    <x v="49"/>
    <x v="19"/>
    <x v="3"/>
    <x v="7"/>
    <x v="85"/>
  </r>
  <r>
    <x v="882"/>
    <x v="39"/>
    <n v="1"/>
    <x v="1"/>
    <x v="6"/>
    <x v="0"/>
    <x v="4"/>
    <x v="0"/>
    <x v="20"/>
    <x v="20"/>
    <x v="49"/>
    <x v="85"/>
    <x v="3"/>
    <x v="30"/>
    <x v="74"/>
  </r>
  <r>
    <x v="883"/>
    <x v="39"/>
    <n v="1"/>
    <x v="1"/>
    <x v="7"/>
    <x v="0"/>
    <x v="4"/>
    <x v="0"/>
    <x v="20"/>
    <x v="15"/>
    <x v="36"/>
    <x v="19"/>
    <x v="17"/>
    <x v="73"/>
    <x v="111"/>
  </r>
  <r>
    <x v="884"/>
    <x v="39"/>
    <n v="1"/>
    <x v="1"/>
    <x v="8"/>
    <x v="0"/>
    <x v="4"/>
    <x v="0"/>
    <x v="18"/>
    <x v="14"/>
    <x v="16"/>
    <x v="57"/>
    <x v="5"/>
    <x v="173"/>
    <x v="184"/>
  </r>
  <r>
    <x v="885"/>
    <x v="39"/>
    <n v="1"/>
    <x v="1"/>
    <x v="9"/>
    <x v="0"/>
    <x v="4"/>
    <x v="0"/>
    <x v="16"/>
    <x v="14"/>
    <x v="17"/>
    <x v="13"/>
    <x v="17"/>
    <x v="138"/>
    <x v="92"/>
  </r>
  <r>
    <x v="886"/>
    <x v="39"/>
    <n v="1"/>
    <x v="1"/>
    <x v="10"/>
    <x v="0"/>
    <x v="4"/>
    <x v="0"/>
    <x v="14"/>
    <x v="18"/>
    <x v="42"/>
    <x v="86"/>
    <x v="1"/>
    <x v="82"/>
    <x v="29"/>
  </r>
  <r>
    <x v="887"/>
    <x v="39"/>
    <n v="1"/>
    <x v="1"/>
    <x v="11"/>
    <x v="0"/>
    <x v="4"/>
    <x v="1"/>
    <x v="14"/>
    <x v="20"/>
    <x v="21"/>
    <x v="13"/>
    <x v="5"/>
    <x v="71"/>
    <x v="102"/>
  </r>
  <r>
    <x v="888"/>
    <x v="39"/>
    <n v="1"/>
    <x v="1"/>
    <x v="12"/>
    <x v="0"/>
    <x v="4"/>
    <x v="1"/>
    <x v="15"/>
    <x v="18"/>
    <x v="22"/>
    <x v="11"/>
    <x v="17"/>
    <x v="77"/>
    <x v="42"/>
  </r>
  <r>
    <x v="889"/>
    <x v="39"/>
    <n v="1"/>
    <x v="1"/>
    <x v="13"/>
    <x v="0"/>
    <x v="4"/>
    <x v="0"/>
    <x v="15"/>
    <x v="17"/>
    <x v="22"/>
    <x v="7"/>
    <x v="4"/>
    <x v="28"/>
    <x v="83"/>
  </r>
  <r>
    <x v="890"/>
    <x v="39"/>
    <n v="1"/>
    <x v="1"/>
    <x v="14"/>
    <x v="0"/>
    <x v="4"/>
    <x v="0"/>
    <x v="2"/>
    <x v="18"/>
    <x v="46"/>
    <x v="9"/>
    <x v="4"/>
    <x v="90"/>
    <x v="154"/>
  </r>
  <r>
    <x v="891"/>
    <x v="39"/>
    <n v="1"/>
    <x v="1"/>
    <x v="15"/>
    <x v="0"/>
    <x v="4"/>
    <x v="1"/>
    <x v="2"/>
    <x v="18"/>
    <x v="46"/>
    <x v="8"/>
    <x v="0"/>
    <x v="124"/>
    <x v="37"/>
  </r>
  <r>
    <x v="892"/>
    <x v="39"/>
    <n v="1"/>
    <x v="1"/>
    <x v="16"/>
    <x v="0"/>
    <x v="4"/>
    <x v="1"/>
    <x v="2"/>
    <x v="13"/>
    <x v="38"/>
    <x v="7"/>
    <x v="18"/>
    <x v="109"/>
    <x v="67"/>
  </r>
  <r>
    <x v="893"/>
    <x v="39"/>
    <n v="1"/>
    <x v="1"/>
    <x v="17"/>
    <x v="0"/>
    <x v="4"/>
    <x v="1"/>
    <x v="2"/>
    <x v="13"/>
    <x v="46"/>
    <x v="7"/>
    <x v="14"/>
    <x v="174"/>
    <x v="150"/>
  </r>
  <r>
    <x v="894"/>
    <x v="39"/>
    <n v="1"/>
    <x v="1"/>
    <x v="18"/>
    <x v="0"/>
    <x v="4"/>
    <x v="1"/>
    <x v="15"/>
    <x v="17"/>
    <x v="19"/>
    <x v="9"/>
    <x v="4"/>
    <x v="175"/>
    <x v="185"/>
  </r>
  <r>
    <x v="895"/>
    <x v="39"/>
    <n v="1"/>
    <x v="1"/>
    <x v="19"/>
    <x v="0"/>
    <x v="4"/>
    <x v="2"/>
    <x v="14"/>
    <x v="16"/>
    <x v="3"/>
    <x v="7"/>
    <x v="5"/>
    <x v="61"/>
    <x v="39"/>
  </r>
  <r>
    <x v="896"/>
    <x v="39"/>
    <n v="1"/>
    <x v="1"/>
    <x v="20"/>
    <x v="0"/>
    <x v="4"/>
    <x v="2"/>
    <x v="14"/>
    <x v="20"/>
    <x v="3"/>
    <x v="13"/>
    <x v="3"/>
    <x v="151"/>
    <x v="11"/>
  </r>
  <r>
    <x v="897"/>
    <x v="39"/>
    <n v="1"/>
    <x v="1"/>
    <x v="21"/>
    <x v="0"/>
    <x v="4"/>
    <x v="1"/>
    <x v="14"/>
    <x v="20"/>
    <x v="3"/>
    <x v="13"/>
    <x v="3"/>
    <x v="93"/>
    <x v="56"/>
  </r>
  <r>
    <x v="898"/>
    <x v="39"/>
    <n v="1"/>
    <x v="1"/>
    <x v="22"/>
    <x v="0"/>
    <x v="4"/>
    <x v="2"/>
    <x v="13"/>
    <x v="17"/>
    <x v="1"/>
    <x v="13"/>
    <x v="17"/>
    <x v="76"/>
    <x v="66"/>
  </r>
  <r>
    <x v="899"/>
    <x v="39"/>
    <n v="1"/>
    <x v="1"/>
    <x v="23"/>
    <x v="0"/>
    <x v="4"/>
    <x v="2"/>
    <x v="13"/>
    <x v="20"/>
    <x v="1"/>
    <x v="10"/>
    <x v="3"/>
    <x v="53"/>
    <x v="18"/>
  </r>
  <r>
    <x v="900"/>
    <x v="40"/>
    <n v="1"/>
    <x v="1"/>
    <x v="0"/>
    <x v="0"/>
    <x v="5"/>
    <x v="2"/>
    <x v="14"/>
    <x v="14"/>
    <x v="3"/>
    <x v="10"/>
    <x v="3"/>
    <x v="20"/>
    <x v="0"/>
  </r>
  <r>
    <x v="901"/>
    <x v="40"/>
    <n v="1"/>
    <x v="1"/>
    <x v="1"/>
    <x v="0"/>
    <x v="5"/>
    <x v="2"/>
    <x v="14"/>
    <x v="20"/>
    <x v="1"/>
    <x v="12"/>
    <x v="3"/>
    <x v="7"/>
    <x v="85"/>
  </r>
  <r>
    <x v="902"/>
    <x v="40"/>
    <n v="1"/>
    <x v="1"/>
    <x v="2"/>
    <x v="0"/>
    <x v="5"/>
    <x v="2"/>
    <x v="14"/>
    <x v="20"/>
    <x v="1"/>
    <x v="12"/>
    <x v="3"/>
    <x v="35"/>
    <x v="6"/>
  </r>
  <r>
    <x v="903"/>
    <x v="40"/>
    <n v="1"/>
    <x v="1"/>
    <x v="4"/>
    <x v="0"/>
    <x v="5"/>
    <x v="1"/>
    <x v="14"/>
    <x v="14"/>
    <x v="29"/>
    <x v="11"/>
    <x v="3"/>
    <x v="4"/>
    <x v="4"/>
  </r>
  <r>
    <x v="904"/>
    <x v="40"/>
    <n v="1"/>
    <x v="1"/>
    <x v="5"/>
    <x v="0"/>
    <x v="5"/>
    <x v="1"/>
    <x v="16"/>
    <x v="16"/>
    <x v="20"/>
    <x v="11"/>
    <x v="3"/>
    <x v="8"/>
    <x v="24"/>
  </r>
  <r>
    <x v="905"/>
    <x v="40"/>
    <n v="1"/>
    <x v="1"/>
    <x v="6"/>
    <x v="0"/>
    <x v="5"/>
    <x v="1"/>
    <x v="16"/>
    <x v="16"/>
    <x v="47"/>
    <x v="8"/>
    <x v="3"/>
    <x v="16"/>
    <x v="132"/>
  </r>
  <r>
    <x v="906"/>
    <x v="40"/>
    <n v="1"/>
    <x v="1"/>
    <x v="7"/>
    <x v="0"/>
    <x v="5"/>
    <x v="0"/>
    <x v="18"/>
    <x v="23"/>
    <x v="20"/>
    <x v="17"/>
    <x v="3"/>
    <x v="176"/>
    <x v="111"/>
  </r>
  <r>
    <x v="907"/>
    <x v="40"/>
    <n v="1"/>
    <x v="1"/>
    <x v="8"/>
    <x v="0"/>
    <x v="5"/>
    <x v="0"/>
    <x v="18"/>
    <x v="23"/>
    <x v="36"/>
    <x v="14"/>
    <x v="2"/>
    <x v="177"/>
    <x v="106"/>
  </r>
  <r>
    <x v="908"/>
    <x v="40"/>
    <n v="1"/>
    <x v="1"/>
    <x v="9"/>
    <x v="0"/>
    <x v="5"/>
    <x v="0"/>
    <x v="16"/>
    <x v="15"/>
    <x v="16"/>
    <x v="16"/>
    <x v="5"/>
    <x v="178"/>
    <x v="78"/>
  </r>
  <r>
    <x v="909"/>
    <x v="40"/>
    <n v="1"/>
    <x v="1"/>
    <x v="10"/>
    <x v="0"/>
    <x v="5"/>
    <x v="0"/>
    <x v="16"/>
    <x v="15"/>
    <x v="16"/>
    <x v="9"/>
    <x v="5"/>
    <x v="60"/>
    <x v="17"/>
  </r>
  <r>
    <x v="910"/>
    <x v="40"/>
    <n v="1"/>
    <x v="1"/>
    <x v="11"/>
    <x v="0"/>
    <x v="5"/>
    <x v="0"/>
    <x v="14"/>
    <x v="16"/>
    <x v="17"/>
    <x v="16"/>
    <x v="5"/>
    <x v="100"/>
    <x v="79"/>
  </r>
  <r>
    <x v="911"/>
    <x v="40"/>
    <n v="1"/>
    <x v="1"/>
    <x v="12"/>
    <x v="0"/>
    <x v="5"/>
    <x v="0"/>
    <x v="13"/>
    <x v="14"/>
    <x v="46"/>
    <x v="18"/>
    <x v="17"/>
    <x v="65"/>
    <x v="83"/>
  </r>
  <r>
    <x v="912"/>
    <x v="40"/>
    <n v="1"/>
    <x v="1"/>
    <x v="13"/>
    <x v="0"/>
    <x v="5"/>
    <x v="0"/>
    <x v="15"/>
    <x v="17"/>
    <x v="44"/>
    <x v="9"/>
    <x v="0"/>
    <x v="79"/>
    <x v="69"/>
  </r>
  <r>
    <x v="913"/>
    <x v="40"/>
    <n v="1"/>
    <x v="1"/>
    <x v="14"/>
    <x v="0"/>
    <x v="5"/>
    <x v="0"/>
    <x v="2"/>
    <x v="18"/>
    <x v="57"/>
    <x v="8"/>
    <x v="15"/>
    <x v="76"/>
    <x v="61"/>
  </r>
  <r>
    <x v="914"/>
    <x v="40"/>
    <n v="1"/>
    <x v="1"/>
    <x v="15"/>
    <x v="0"/>
    <x v="5"/>
    <x v="0"/>
    <x v="2"/>
    <x v="13"/>
    <x v="59"/>
    <x v="7"/>
    <x v="3"/>
    <x v="54"/>
    <x v="89"/>
  </r>
  <r>
    <x v="915"/>
    <x v="40"/>
    <n v="1"/>
    <x v="1"/>
    <x v="16"/>
    <x v="0"/>
    <x v="5"/>
    <x v="0"/>
    <x v="2"/>
    <x v="18"/>
    <x v="57"/>
    <x v="9"/>
    <x v="17"/>
    <x v="83"/>
    <x v="138"/>
  </r>
  <r>
    <x v="916"/>
    <x v="40"/>
    <n v="1"/>
    <x v="1"/>
    <x v="17"/>
    <x v="0"/>
    <x v="5"/>
    <x v="0"/>
    <x v="15"/>
    <x v="18"/>
    <x v="60"/>
    <x v="10"/>
    <x v="15"/>
    <x v="136"/>
    <x v="186"/>
  </r>
  <r>
    <x v="917"/>
    <x v="40"/>
    <n v="1"/>
    <x v="1"/>
    <x v="18"/>
    <x v="0"/>
    <x v="5"/>
    <x v="0"/>
    <x v="13"/>
    <x v="18"/>
    <x v="40"/>
    <x v="12"/>
    <x v="0"/>
    <x v="174"/>
    <x v="187"/>
  </r>
  <r>
    <x v="918"/>
    <x v="40"/>
    <n v="1"/>
    <x v="1"/>
    <x v="19"/>
    <x v="0"/>
    <x v="5"/>
    <x v="0"/>
    <x v="14"/>
    <x v="17"/>
    <x v="40"/>
    <x v="19"/>
    <x v="4"/>
    <x v="59"/>
    <x v="59"/>
  </r>
  <r>
    <x v="919"/>
    <x v="40"/>
    <n v="1"/>
    <x v="1"/>
    <x v="20"/>
    <x v="0"/>
    <x v="5"/>
    <x v="0"/>
    <x v="14"/>
    <x v="18"/>
    <x v="61"/>
    <x v="3"/>
    <x v="17"/>
    <x v="139"/>
    <x v="54"/>
  </r>
  <r>
    <x v="920"/>
    <x v="40"/>
    <n v="1"/>
    <x v="1"/>
    <x v="21"/>
    <x v="0"/>
    <x v="5"/>
    <x v="0"/>
    <x v="14"/>
    <x v="12"/>
    <x v="17"/>
    <x v="87"/>
    <x v="4"/>
    <x v="14"/>
    <x v="44"/>
  </r>
  <r>
    <x v="921"/>
    <x v="40"/>
    <n v="1"/>
    <x v="1"/>
    <x v="22"/>
    <x v="0"/>
    <x v="5"/>
    <x v="0"/>
    <x v="16"/>
    <x v="13"/>
    <x v="17"/>
    <x v="88"/>
    <x v="17"/>
    <x v="12"/>
    <x v="41"/>
  </r>
  <r>
    <x v="922"/>
    <x v="40"/>
    <n v="1"/>
    <x v="1"/>
    <x v="23"/>
    <x v="0"/>
    <x v="5"/>
    <x v="0"/>
    <x v="16"/>
    <x v="20"/>
    <x v="16"/>
    <x v="19"/>
    <x v="5"/>
    <x v="39"/>
    <x v="19"/>
  </r>
  <r>
    <x v="923"/>
    <x v="41"/>
    <n v="1"/>
    <x v="1"/>
    <x v="0"/>
    <x v="0"/>
    <x v="6"/>
    <x v="0"/>
    <x v="18"/>
    <x v="14"/>
    <x v="36"/>
    <x v="19"/>
    <x v="4"/>
    <x v="98"/>
    <x v="8"/>
  </r>
  <r>
    <x v="924"/>
    <x v="41"/>
    <n v="1"/>
    <x v="1"/>
    <x v="1"/>
    <x v="0"/>
    <x v="6"/>
    <x v="0"/>
    <x v="18"/>
    <x v="14"/>
    <x v="47"/>
    <x v="3"/>
    <x v="5"/>
    <x v="8"/>
    <x v="85"/>
  </r>
  <r>
    <x v="925"/>
    <x v="41"/>
    <n v="1"/>
    <x v="1"/>
    <x v="2"/>
    <x v="0"/>
    <x v="6"/>
    <x v="0"/>
    <x v="18"/>
    <x v="14"/>
    <x v="47"/>
    <x v="3"/>
    <x v="3"/>
    <x v="35"/>
    <x v="6"/>
  </r>
  <r>
    <x v="926"/>
    <x v="41"/>
    <n v="1"/>
    <x v="1"/>
    <x v="5"/>
    <x v="0"/>
    <x v="6"/>
    <x v="0"/>
    <x v="19"/>
    <x v="16"/>
    <x v="30"/>
    <x v="3"/>
    <x v="3"/>
    <x v="22"/>
    <x v="48"/>
  </r>
  <r>
    <x v="927"/>
    <x v="41"/>
    <n v="1"/>
    <x v="1"/>
    <x v="6"/>
    <x v="0"/>
    <x v="6"/>
    <x v="0"/>
    <x v="18"/>
    <x v="18"/>
    <x v="31"/>
    <x v="89"/>
    <x v="5"/>
    <x v="140"/>
    <x v="108"/>
  </r>
  <r>
    <x v="928"/>
    <x v="41"/>
    <n v="1"/>
    <x v="1"/>
    <x v="7"/>
    <x v="0"/>
    <x v="6"/>
    <x v="0"/>
    <x v="19"/>
    <x v="17"/>
    <x v="62"/>
    <x v="90"/>
    <x v="5"/>
    <x v="26"/>
    <x v="30"/>
  </r>
  <r>
    <x v="929"/>
    <x v="41"/>
    <n v="1"/>
    <x v="1"/>
    <x v="8"/>
    <x v="0"/>
    <x v="6"/>
    <x v="0"/>
    <x v="18"/>
    <x v="16"/>
    <x v="32"/>
    <x v="13"/>
    <x v="17"/>
    <x v="179"/>
    <x v="182"/>
  </r>
  <r>
    <x v="930"/>
    <x v="41"/>
    <n v="1"/>
    <x v="1"/>
    <x v="9"/>
    <x v="0"/>
    <x v="6"/>
    <x v="0"/>
    <x v="16"/>
    <x v="16"/>
    <x v="32"/>
    <x v="11"/>
    <x v="1"/>
    <x v="126"/>
    <x v="188"/>
  </r>
  <r>
    <x v="931"/>
    <x v="41"/>
    <n v="1"/>
    <x v="1"/>
    <x v="10"/>
    <x v="0"/>
    <x v="6"/>
    <x v="0"/>
    <x v="14"/>
    <x v="14"/>
    <x v="27"/>
    <x v="10"/>
    <x v="2"/>
    <x v="87"/>
    <x v="40"/>
  </r>
  <r>
    <x v="932"/>
    <x v="41"/>
    <n v="1"/>
    <x v="1"/>
    <x v="11"/>
    <x v="0"/>
    <x v="6"/>
    <x v="0"/>
    <x v="1"/>
    <x v="11"/>
    <x v="19"/>
    <x v="12"/>
    <x v="6"/>
    <x v="15"/>
    <x v="37"/>
  </r>
  <r>
    <x v="933"/>
    <x v="41"/>
    <n v="1"/>
    <x v="1"/>
    <x v="12"/>
    <x v="0"/>
    <x v="6"/>
    <x v="0"/>
    <x v="1"/>
    <x v="11"/>
    <x v="19"/>
    <x v="12"/>
    <x v="18"/>
    <x v="27"/>
    <x v="68"/>
  </r>
  <r>
    <x v="934"/>
    <x v="41"/>
    <n v="1"/>
    <x v="1"/>
    <x v="13"/>
    <x v="0"/>
    <x v="6"/>
    <x v="0"/>
    <x v="0"/>
    <x v="11"/>
    <x v="23"/>
    <x v="10"/>
    <x v="27"/>
    <x v="121"/>
    <x v="14"/>
  </r>
  <r>
    <x v="935"/>
    <x v="41"/>
    <n v="1"/>
    <x v="1"/>
    <x v="14"/>
    <x v="0"/>
    <x v="6"/>
    <x v="0"/>
    <x v="11"/>
    <x v="0"/>
    <x v="60"/>
    <x v="7"/>
    <x v="26"/>
    <x v="28"/>
    <x v="11"/>
  </r>
  <r>
    <x v="936"/>
    <x v="41"/>
    <n v="1"/>
    <x v="1"/>
    <x v="15"/>
    <x v="0"/>
    <x v="6"/>
    <x v="0"/>
    <x v="3"/>
    <x v="21"/>
    <x v="58"/>
    <x v="13"/>
    <x v="6"/>
    <x v="133"/>
    <x v="30"/>
  </r>
  <r>
    <x v="937"/>
    <x v="41"/>
    <n v="1"/>
    <x v="1"/>
    <x v="16"/>
    <x v="0"/>
    <x v="6"/>
    <x v="0"/>
    <x v="11"/>
    <x v="0"/>
    <x v="40"/>
    <x v="10"/>
    <x v="24"/>
    <x v="180"/>
    <x v="139"/>
  </r>
  <r>
    <x v="938"/>
    <x v="41"/>
    <n v="1"/>
    <x v="1"/>
    <x v="17"/>
    <x v="0"/>
    <x v="6"/>
    <x v="0"/>
    <x v="11"/>
    <x v="6"/>
    <x v="63"/>
    <x v="91"/>
    <x v="25"/>
    <x v="181"/>
    <x v="189"/>
  </r>
  <r>
    <x v="939"/>
    <x v="41"/>
    <n v="1"/>
    <x v="1"/>
    <x v="18"/>
    <x v="0"/>
    <x v="6"/>
    <x v="0"/>
    <x v="17"/>
    <x v="21"/>
    <x v="40"/>
    <x v="92"/>
    <x v="14"/>
    <x v="158"/>
    <x v="177"/>
  </r>
  <r>
    <x v="940"/>
    <x v="41"/>
    <n v="1"/>
    <x v="1"/>
    <x v="19"/>
    <x v="0"/>
    <x v="6"/>
    <x v="0"/>
    <x v="12"/>
    <x v="25"/>
    <x v="39"/>
    <x v="93"/>
    <x v="18"/>
    <x v="111"/>
    <x v="129"/>
  </r>
  <r>
    <x v="941"/>
    <x v="41"/>
    <n v="1"/>
    <x v="1"/>
    <x v="20"/>
    <x v="0"/>
    <x v="6"/>
    <x v="0"/>
    <x v="1"/>
    <x v="11"/>
    <x v="28"/>
    <x v="12"/>
    <x v="4"/>
    <x v="124"/>
    <x v="55"/>
  </r>
  <r>
    <x v="942"/>
    <x v="41"/>
    <n v="1"/>
    <x v="1"/>
    <x v="21"/>
    <x v="0"/>
    <x v="6"/>
    <x v="0"/>
    <x v="2"/>
    <x v="12"/>
    <x v="29"/>
    <x v="12"/>
    <x v="5"/>
    <x v="24"/>
    <x v="105"/>
  </r>
  <r>
    <x v="943"/>
    <x v="41"/>
    <n v="1"/>
    <x v="1"/>
    <x v="22"/>
    <x v="0"/>
    <x v="6"/>
    <x v="0"/>
    <x v="2"/>
    <x v="11"/>
    <x v="26"/>
    <x v="3"/>
    <x v="4"/>
    <x v="40"/>
    <x v="74"/>
  </r>
  <r>
    <x v="944"/>
    <x v="41"/>
    <n v="1"/>
    <x v="1"/>
    <x v="23"/>
    <x v="0"/>
    <x v="6"/>
    <x v="0"/>
    <x v="15"/>
    <x v="19"/>
    <x v="27"/>
    <x v="94"/>
    <x v="2"/>
    <x v="41"/>
    <x v="26"/>
  </r>
  <r>
    <x v="945"/>
    <x v="42"/>
    <n v="1"/>
    <x v="1"/>
    <x v="0"/>
    <x v="0"/>
    <x v="0"/>
    <x v="0"/>
    <x v="13"/>
    <x v="13"/>
    <x v="27"/>
    <x v="3"/>
    <x v="0"/>
    <x v="2"/>
    <x v="33"/>
  </r>
  <r>
    <x v="946"/>
    <x v="42"/>
    <n v="1"/>
    <x v="1"/>
    <x v="1"/>
    <x v="0"/>
    <x v="0"/>
    <x v="0"/>
    <x v="14"/>
    <x v="12"/>
    <x v="3"/>
    <x v="64"/>
    <x v="4"/>
    <x v="97"/>
    <x v="108"/>
  </r>
  <r>
    <x v="947"/>
    <x v="42"/>
    <n v="1"/>
    <x v="1"/>
    <x v="2"/>
    <x v="0"/>
    <x v="0"/>
    <x v="0"/>
    <x v="14"/>
    <x v="12"/>
    <x v="1"/>
    <x v="61"/>
    <x v="4"/>
    <x v="0"/>
    <x v="93"/>
  </r>
  <r>
    <x v="948"/>
    <x v="42"/>
    <n v="1"/>
    <x v="1"/>
    <x v="3"/>
    <x v="0"/>
    <x v="0"/>
    <x v="0"/>
    <x v="16"/>
    <x v="13"/>
    <x v="1"/>
    <x v="95"/>
    <x v="0"/>
    <x v="7"/>
    <x v="98"/>
  </r>
  <r>
    <x v="949"/>
    <x v="42"/>
    <n v="1"/>
    <x v="1"/>
    <x v="4"/>
    <x v="0"/>
    <x v="0"/>
    <x v="0"/>
    <x v="16"/>
    <x v="17"/>
    <x v="32"/>
    <x v="3"/>
    <x v="3"/>
    <x v="22"/>
    <x v="48"/>
  </r>
  <r>
    <x v="950"/>
    <x v="42"/>
    <n v="1"/>
    <x v="1"/>
    <x v="5"/>
    <x v="0"/>
    <x v="0"/>
    <x v="0"/>
    <x v="16"/>
    <x v="17"/>
    <x v="32"/>
    <x v="3"/>
    <x v="3"/>
    <x v="4"/>
    <x v="4"/>
  </r>
  <r>
    <x v="951"/>
    <x v="42"/>
    <n v="1"/>
    <x v="1"/>
    <x v="6"/>
    <x v="0"/>
    <x v="0"/>
    <x v="0"/>
    <x v="16"/>
    <x v="14"/>
    <x v="43"/>
    <x v="10"/>
    <x v="5"/>
    <x v="4"/>
    <x v="5"/>
  </r>
  <r>
    <x v="952"/>
    <x v="42"/>
    <n v="1"/>
    <x v="1"/>
    <x v="7"/>
    <x v="0"/>
    <x v="0"/>
    <x v="0"/>
    <x v="16"/>
    <x v="20"/>
    <x v="1"/>
    <x v="19"/>
    <x v="4"/>
    <x v="33"/>
    <x v="62"/>
  </r>
  <r>
    <x v="953"/>
    <x v="42"/>
    <n v="1"/>
    <x v="1"/>
    <x v="8"/>
    <x v="0"/>
    <x v="0"/>
    <x v="0"/>
    <x v="14"/>
    <x v="20"/>
    <x v="3"/>
    <x v="12"/>
    <x v="4"/>
    <x v="95"/>
    <x v="33"/>
  </r>
  <r>
    <x v="954"/>
    <x v="42"/>
    <n v="1"/>
    <x v="1"/>
    <x v="9"/>
    <x v="0"/>
    <x v="0"/>
    <x v="0"/>
    <x v="13"/>
    <x v="18"/>
    <x v="26"/>
    <x v="12"/>
    <x v="2"/>
    <x v="101"/>
    <x v="74"/>
  </r>
  <r>
    <x v="955"/>
    <x v="42"/>
    <n v="1"/>
    <x v="1"/>
    <x v="10"/>
    <x v="0"/>
    <x v="0"/>
    <x v="0"/>
    <x v="1"/>
    <x v="12"/>
    <x v="48"/>
    <x v="7"/>
    <x v="23"/>
    <x v="13"/>
    <x v="11"/>
  </r>
  <r>
    <x v="956"/>
    <x v="42"/>
    <n v="1"/>
    <x v="1"/>
    <x v="11"/>
    <x v="0"/>
    <x v="0"/>
    <x v="0"/>
    <x v="11"/>
    <x v="1"/>
    <x v="40"/>
    <x v="14"/>
    <x v="36"/>
    <x v="151"/>
    <x v="181"/>
  </r>
  <r>
    <x v="957"/>
    <x v="42"/>
    <n v="1"/>
    <x v="1"/>
    <x v="12"/>
    <x v="0"/>
    <x v="0"/>
    <x v="0"/>
    <x v="11"/>
    <x v="1"/>
    <x v="17"/>
    <x v="34"/>
    <x v="37"/>
    <x v="139"/>
    <x v="151"/>
  </r>
  <r>
    <x v="958"/>
    <x v="42"/>
    <n v="1"/>
    <x v="1"/>
    <x v="13"/>
    <x v="0"/>
    <x v="0"/>
    <x v="0"/>
    <x v="11"/>
    <x v="1"/>
    <x v="17"/>
    <x v="17"/>
    <x v="38"/>
    <x v="145"/>
    <x v="169"/>
  </r>
  <r>
    <x v="959"/>
    <x v="42"/>
    <n v="1"/>
    <x v="1"/>
    <x v="14"/>
    <x v="0"/>
    <x v="0"/>
    <x v="0"/>
    <x v="10"/>
    <x v="21"/>
    <x v="61"/>
    <x v="8"/>
    <x v="36"/>
    <x v="92"/>
    <x v="151"/>
  </r>
  <r>
    <x v="960"/>
    <x v="42"/>
    <n v="1"/>
    <x v="1"/>
    <x v="15"/>
    <x v="0"/>
    <x v="0"/>
    <x v="0"/>
    <x v="10"/>
    <x v="25"/>
    <x v="44"/>
    <x v="17"/>
    <x v="9"/>
    <x v="69"/>
    <x v="177"/>
  </r>
  <r>
    <x v="961"/>
    <x v="42"/>
    <n v="1"/>
    <x v="1"/>
    <x v="16"/>
    <x v="0"/>
    <x v="0"/>
    <x v="0"/>
    <x v="10"/>
    <x v="25"/>
    <x v="44"/>
    <x v="17"/>
    <x v="35"/>
    <x v="145"/>
    <x v="190"/>
  </r>
  <r>
    <x v="962"/>
    <x v="42"/>
    <n v="1"/>
    <x v="1"/>
    <x v="17"/>
    <x v="0"/>
    <x v="0"/>
    <x v="0"/>
    <x v="3"/>
    <x v="0"/>
    <x v="61"/>
    <x v="35"/>
    <x v="31"/>
    <x v="182"/>
    <x v="120"/>
  </r>
  <r>
    <x v="963"/>
    <x v="42"/>
    <n v="1"/>
    <x v="1"/>
    <x v="18"/>
    <x v="0"/>
    <x v="0"/>
    <x v="0"/>
    <x v="17"/>
    <x v="2"/>
    <x v="41"/>
    <x v="14"/>
    <x v="17"/>
    <x v="91"/>
    <x v="37"/>
  </r>
  <r>
    <x v="964"/>
    <x v="42"/>
    <n v="1"/>
    <x v="1"/>
    <x v="19"/>
    <x v="0"/>
    <x v="0"/>
    <x v="0"/>
    <x v="17"/>
    <x v="1"/>
    <x v="41"/>
    <x v="13"/>
    <x v="4"/>
    <x v="87"/>
    <x v="102"/>
  </r>
  <r>
    <x v="965"/>
    <x v="42"/>
    <n v="1"/>
    <x v="1"/>
    <x v="20"/>
    <x v="0"/>
    <x v="0"/>
    <x v="0"/>
    <x v="12"/>
    <x v="2"/>
    <x v="48"/>
    <x v="11"/>
    <x v="5"/>
    <x v="87"/>
    <x v="1"/>
  </r>
  <r>
    <x v="966"/>
    <x v="42"/>
    <n v="1"/>
    <x v="1"/>
    <x v="21"/>
    <x v="0"/>
    <x v="0"/>
    <x v="0"/>
    <x v="12"/>
    <x v="25"/>
    <x v="48"/>
    <x v="96"/>
    <x v="14"/>
    <x v="76"/>
    <x v="41"/>
  </r>
  <r>
    <x v="967"/>
    <x v="42"/>
    <n v="1"/>
    <x v="1"/>
    <x v="22"/>
    <x v="0"/>
    <x v="0"/>
    <x v="0"/>
    <x v="0"/>
    <x v="2"/>
    <x v="18"/>
    <x v="3"/>
    <x v="15"/>
    <x v="87"/>
    <x v="79"/>
  </r>
  <r>
    <x v="968"/>
    <x v="42"/>
    <n v="1"/>
    <x v="1"/>
    <x v="23"/>
    <x v="0"/>
    <x v="0"/>
    <x v="0"/>
    <x v="1"/>
    <x v="11"/>
    <x v="33"/>
    <x v="12"/>
    <x v="5"/>
    <x v="17"/>
    <x v="2"/>
  </r>
  <r>
    <x v="969"/>
    <x v="43"/>
    <n v="1"/>
    <x v="1"/>
    <x v="0"/>
    <x v="0"/>
    <x v="1"/>
    <x v="0"/>
    <x v="2"/>
    <x v="11"/>
    <x v="26"/>
    <x v="19"/>
    <x v="2"/>
    <x v="60"/>
    <x v="21"/>
  </r>
  <r>
    <x v="970"/>
    <x v="43"/>
    <n v="1"/>
    <x v="1"/>
    <x v="1"/>
    <x v="0"/>
    <x v="1"/>
    <x v="0"/>
    <x v="2"/>
    <x v="11"/>
    <x v="29"/>
    <x v="3"/>
    <x v="5"/>
    <x v="140"/>
    <x v="108"/>
  </r>
  <r>
    <x v="971"/>
    <x v="43"/>
    <n v="1"/>
    <x v="1"/>
    <x v="2"/>
    <x v="0"/>
    <x v="1"/>
    <x v="1"/>
    <x v="2"/>
    <x v="11"/>
    <x v="2"/>
    <x v="3"/>
    <x v="5"/>
    <x v="23"/>
    <x v="25"/>
  </r>
  <r>
    <x v="972"/>
    <x v="43"/>
    <n v="1"/>
    <x v="1"/>
    <x v="3"/>
    <x v="0"/>
    <x v="1"/>
    <x v="1"/>
    <x v="2"/>
    <x v="11"/>
    <x v="27"/>
    <x v="19"/>
    <x v="17"/>
    <x v="21"/>
    <x v="47"/>
  </r>
  <r>
    <x v="973"/>
    <x v="43"/>
    <n v="1"/>
    <x v="1"/>
    <x v="4"/>
    <x v="0"/>
    <x v="1"/>
    <x v="1"/>
    <x v="2"/>
    <x v="12"/>
    <x v="27"/>
    <x v="13"/>
    <x v="3"/>
    <x v="6"/>
    <x v="5"/>
  </r>
  <r>
    <x v="974"/>
    <x v="43"/>
    <n v="1"/>
    <x v="1"/>
    <x v="6"/>
    <x v="0"/>
    <x v="1"/>
    <x v="1"/>
    <x v="2"/>
    <x v="12"/>
    <x v="27"/>
    <x v="12"/>
    <x v="4"/>
    <x v="35"/>
    <x v="36"/>
  </r>
  <r>
    <x v="975"/>
    <x v="43"/>
    <n v="1"/>
    <x v="1"/>
    <x v="7"/>
    <x v="0"/>
    <x v="1"/>
    <x v="1"/>
    <x v="1"/>
    <x v="1"/>
    <x v="28"/>
    <x v="29"/>
    <x v="3"/>
    <x v="35"/>
    <x v="6"/>
  </r>
  <r>
    <x v="976"/>
    <x v="43"/>
    <n v="1"/>
    <x v="1"/>
    <x v="8"/>
    <x v="0"/>
    <x v="1"/>
    <x v="1"/>
    <x v="1"/>
    <x v="11"/>
    <x v="26"/>
    <x v="10"/>
    <x v="5"/>
    <x v="48"/>
    <x v="47"/>
  </r>
  <r>
    <x v="977"/>
    <x v="43"/>
    <n v="1"/>
    <x v="1"/>
    <x v="9"/>
    <x v="0"/>
    <x v="1"/>
    <x v="1"/>
    <x v="0"/>
    <x v="11"/>
    <x v="54"/>
    <x v="11"/>
    <x v="6"/>
    <x v="96"/>
    <x v="105"/>
  </r>
  <r>
    <x v="978"/>
    <x v="43"/>
    <n v="1"/>
    <x v="1"/>
    <x v="10"/>
    <x v="0"/>
    <x v="1"/>
    <x v="0"/>
    <x v="11"/>
    <x v="1"/>
    <x v="49"/>
    <x v="14"/>
    <x v="21"/>
    <x v="132"/>
    <x v="136"/>
  </r>
  <r>
    <x v="979"/>
    <x v="43"/>
    <n v="1"/>
    <x v="1"/>
    <x v="11"/>
    <x v="0"/>
    <x v="1"/>
    <x v="0"/>
    <x v="3"/>
    <x v="0"/>
    <x v="17"/>
    <x v="15"/>
    <x v="7"/>
    <x v="132"/>
    <x v="59"/>
  </r>
  <r>
    <x v="980"/>
    <x v="43"/>
    <n v="1"/>
    <x v="1"/>
    <x v="12"/>
    <x v="0"/>
    <x v="1"/>
    <x v="0"/>
    <x v="5"/>
    <x v="21"/>
    <x v="25"/>
    <x v="34"/>
    <x v="39"/>
    <x v="111"/>
    <x v="148"/>
  </r>
  <r>
    <x v="981"/>
    <x v="43"/>
    <n v="1"/>
    <x v="1"/>
    <x v="13"/>
    <x v="0"/>
    <x v="1"/>
    <x v="0"/>
    <x v="4"/>
    <x v="5"/>
    <x v="44"/>
    <x v="16"/>
    <x v="40"/>
    <x v="50"/>
    <x v="38"/>
  </r>
  <r>
    <x v="982"/>
    <x v="43"/>
    <n v="1"/>
    <x v="1"/>
    <x v="14"/>
    <x v="0"/>
    <x v="1"/>
    <x v="1"/>
    <x v="9"/>
    <x v="10"/>
    <x v="24"/>
    <x v="17"/>
    <x v="41"/>
    <x v="59"/>
    <x v="143"/>
  </r>
  <r>
    <x v="983"/>
    <x v="43"/>
    <n v="1"/>
    <x v="1"/>
    <x v="15"/>
    <x v="0"/>
    <x v="1"/>
    <x v="1"/>
    <x v="9"/>
    <x v="10"/>
    <x v="24"/>
    <x v="9"/>
    <x v="11"/>
    <x v="183"/>
    <x v="123"/>
  </r>
  <r>
    <x v="984"/>
    <x v="43"/>
    <n v="1"/>
    <x v="1"/>
    <x v="16"/>
    <x v="0"/>
    <x v="1"/>
    <x v="1"/>
    <x v="6"/>
    <x v="7"/>
    <x v="40"/>
    <x v="14"/>
    <x v="32"/>
    <x v="184"/>
    <x v="87"/>
  </r>
  <r>
    <x v="985"/>
    <x v="43"/>
    <n v="1"/>
    <x v="1"/>
    <x v="17"/>
    <x v="0"/>
    <x v="1"/>
    <x v="0"/>
    <x v="6"/>
    <x v="7"/>
    <x v="40"/>
    <x v="14"/>
    <x v="36"/>
    <x v="73"/>
    <x v="139"/>
  </r>
  <r>
    <x v="986"/>
    <x v="43"/>
    <n v="1"/>
    <x v="1"/>
    <x v="18"/>
    <x v="0"/>
    <x v="1"/>
    <x v="0"/>
    <x v="9"/>
    <x v="10"/>
    <x v="25"/>
    <x v="9"/>
    <x v="26"/>
    <x v="78"/>
    <x v="76"/>
  </r>
  <r>
    <x v="987"/>
    <x v="43"/>
    <n v="1"/>
    <x v="1"/>
    <x v="19"/>
    <x v="0"/>
    <x v="1"/>
    <x v="0"/>
    <x v="9"/>
    <x v="10"/>
    <x v="23"/>
    <x v="8"/>
    <x v="16"/>
    <x v="54"/>
    <x v="42"/>
  </r>
  <r>
    <x v="988"/>
    <x v="43"/>
    <n v="1"/>
    <x v="1"/>
    <x v="20"/>
    <x v="0"/>
    <x v="1"/>
    <x v="0"/>
    <x v="9"/>
    <x v="10"/>
    <x v="23"/>
    <x v="14"/>
    <x v="13"/>
    <x v="1"/>
    <x v="105"/>
  </r>
  <r>
    <x v="989"/>
    <x v="43"/>
    <n v="1"/>
    <x v="1"/>
    <x v="21"/>
    <x v="0"/>
    <x v="1"/>
    <x v="0"/>
    <x v="9"/>
    <x v="10"/>
    <x v="23"/>
    <x v="16"/>
    <x v="15"/>
    <x v="108"/>
    <x v="41"/>
  </r>
  <r>
    <x v="990"/>
    <x v="43"/>
    <n v="1"/>
    <x v="1"/>
    <x v="22"/>
    <x v="0"/>
    <x v="1"/>
    <x v="0"/>
    <x v="9"/>
    <x v="10"/>
    <x v="23"/>
    <x v="9"/>
    <x v="2"/>
    <x v="17"/>
    <x v="9"/>
  </r>
  <r>
    <x v="991"/>
    <x v="43"/>
    <n v="1"/>
    <x v="1"/>
    <x v="23"/>
    <x v="0"/>
    <x v="1"/>
    <x v="0"/>
    <x v="9"/>
    <x v="10"/>
    <x v="23"/>
    <x v="16"/>
    <x v="0"/>
    <x v="2"/>
    <x v="33"/>
  </r>
  <r>
    <x v="992"/>
    <x v="44"/>
    <n v="1"/>
    <x v="1"/>
    <x v="0"/>
    <x v="0"/>
    <x v="2"/>
    <x v="0"/>
    <x v="4"/>
    <x v="5"/>
    <x v="38"/>
    <x v="16"/>
    <x v="0"/>
    <x v="21"/>
    <x v="62"/>
  </r>
  <r>
    <x v="993"/>
    <x v="44"/>
    <n v="1"/>
    <x v="1"/>
    <x v="1"/>
    <x v="0"/>
    <x v="2"/>
    <x v="0"/>
    <x v="4"/>
    <x v="5"/>
    <x v="38"/>
    <x v="16"/>
    <x v="5"/>
    <x v="8"/>
    <x v="85"/>
  </r>
  <r>
    <x v="994"/>
    <x v="44"/>
    <n v="1"/>
    <x v="1"/>
    <x v="2"/>
    <x v="0"/>
    <x v="2"/>
    <x v="0"/>
    <x v="5"/>
    <x v="6"/>
    <x v="22"/>
    <x v="9"/>
    <x v="3"/>
    <x v="6"/>
    <x v="5"/>
  </r>
  <r>
    <x v="995"/>
    <x v="44"/>
    <n v="1"/>
    <x v="1"/>
    <x v="3"/>
    <x v="0"/>
    <x v="2"/>
    <x v="0"/>
    <x v="10"/>
    <x v="21"/>
    <x v="15"/>
    <x v="11"/>
    <x v="5"/>
    <x v="4"/>
    <x v="5"/>
  </r>
  <r>
    <x v="996"/>
    <x v="44"/>
    <n v="1"/>
    <x v="1"/>
    <x v="4"/>
    <x v="0"/>
    <x v="2"/>
    <x v="0"/>
    <x v="3"/>
    <x v="25"/>
    <x v="45"/>
    <x v="8"/>
    <x v="3"/>
    <x v="6"/>
    <x v="5"/>
  </r>
  <r>
    <x v="997"/>
    <x v="44"/>
    <n v="1"/>
    <x v="1"/>
    <x v="5"/>
    <x v="0"/>
    <x v="2"/>
    <x v="0"/>
    <x v="3"/>
    <x v="25"/>
    <x v="45"/>
    <x v="8"/>
    <x v="3"/>
    <x v="35"/>
    <x v="6"/>
  </r>
  <r>
    <x v="998"/>
    <x v="44"/>
    <n v="1"/>
    <x v="1"/>
    <x v="6"/>
    <x v="0"/>
    <x v="2"/>
    <x v="0"/>
    <x v="10"/>
    <x v="25"/>
    <x v="15"/>
    <x v="9"/>
    <x v="5"/>
    <x v="18"/>
    <x v="132"/>
  </r>
  <r>
    <x v="999"/>
    <x v="44"/>
    <n v="1"/>
    <x v="1"/>
    <x v="7"/>
    <x v="0"/>
    <x v="2"/>
    <x v="0"/>
    <x v="10"/>
    <x v="25"/>
    <x v="15"/>
    <x v="9"/>
    <x v="4"/>
    <x v="185"/>
    <x v="95"/>
  </r>
  <r>
    <x v="1000"/>
    <x v="45"/>
    <m/>
    <x v="2"/>
    <x v="24"/>
    <x v="2"/>
    <x v="7"/>
    <x v="4"/>
    <x v="23"/>
    <x v="3"/>
    <x v="64"/>
    <x v="97"/>
    <x v="42"/>
    <x v="186"/>
    <x v="191"/>
  </r>
  <r>
    <x v="1000"/>
    <x v="45"/>
    <m/>
    <x v="2"/>
    <x v="24"/>
    <x v="2"/>
    <x v="7"/>
    <x v="4"/>
    <x v="24"/>
    <x v="31"/>
    <x v="65"/>
    <x v="98"/>
    <x v="43"/>
    <x v="187"/>
    <x v="192"/>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r>
    <x v="1000"/>
    <x v="45"/>
    <m/>
    <x v="2"/>
    <x v="24"/>
    <x v="2"/>
    <x v="7"/>
    <x v="4"/>
    <x v="23"/>
    <x v="3"/>
    <x v="64"/>
    <x v="97"/>
    <x v="42"/>
    <x v="186"/>
    <x v="1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0B5D6D-BF92-4D5F-BB33-0576CC36D0FB}"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0">
  <location ref="A81:C84" firstHeaderRow="0" firstDataRow="1" firstDataCol="1"/>
  <pivotFields count="16">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4">
        <item x="0"/>
        <item x="1"/>
        <item x="2"/>
        <item t="default"/>
      </items>
    </pivotField>
    <pivotField showAll="0"/>
    <pivotField axis="axisRow" showAll="0">
      <items count="4">
        <item x="0"/>
        <item x="1"/>
        <item h="1" x="2"/>
        <item t="default"/>
      </items>
    </pivotField>
    <pivotField showAll="0"/>
    <pivotField showAll="0">
      <items count="6">
        <item x="0"/>
        <item x="1"/>
        <item x="2"/>
        <item x="3"/>
        <item x="4"/>
        <item t="default"/>
      </items>
    </pivotField>
    <pivotField showAll="0"/>
    <pivotField showAll="0"/>
    <pivotField dataField="1" showAll="0">
      <items count="67">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65"/>
        <item x="29"/>
        <item x="54"/>
        <item x="53"/>
        <item x="51"/>
        <item x="30"/>
        <item x="26"/>
        <item x="55"/>
        <item x="13"/>
        <item x="31"/>
        <item x="27"/>
        <item x="56"/>
        <item x="12"/>
        <item x="6"/>
        <item x="62"/>
        <item x="32"/>
        <item x="2"/>
        <item x="4"/>
        <item x="5"/>
        <item x="1"/>
        <item x="0"/>
        <item x="7"/>
        <item x="3"/>
        <item x="9"/>
        <item x="8"/>
        <item x="50"/>
        <item x="43"/>
        <item x="10"/>
        <item x="11"/>
        <item x="64"/>
        <item t="default"/>
      </items>
    </pivotField>
    <pivotField showAll="0"/>
    <pivotField showAll="0"/>
    <pivotField showAll="0"/>
    <pivotField dataField="1" showAll="0">
      <items count="194">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x="192"/>
        <item x="191"/>
        <item t="default"/>
      </items>
    </pivotField>
    <pivotField showAll="0" defaultSubtotal="0"/>
  </pivotFields>
  <rowFields count="1">
    <field x="5"/>
  </rowFields>
  <rowItems count="3">
    <i>
      <x/>
    </i>
    <i>
      <x v="1"/>
    </i>
    <i t="grand">
      <x/>
    </i>
  </rowItems>
  <colFields count="1">
    <field x="-2"/>
  </colFields>
  <colItems count="2">
    <i>
      <x/>
    </i>
    <i i="1">
      <x v="1"/>
    </i>
  </colItems>
  <dataFields count="2">
    <dataField name="Sum of cnt" fld="14" baseField="0" baseItem="0"/>
    <dataField name="Average of hum" fld="10" subtotal="average" baseField="5" baseItem="0"/>
  </dataFields>
  <chartFormats count="2">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91E981-EC08-4464-A0AC-E8AD02F09212}"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30:D76" firstHeaderRow="0" firstDataRow="1" firstDataCol="1"/>
  <pivotFields count="16">
    <pivotField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4">
        <item x="0"/>
        <item x="1"/>
        <item x="2"/>
        <item t="default"/>
      </items>
    </pivotField>
    <pivotField showAll="0"/>
    <pivotField showAll="0">
      <items count="4">
        <item x="0"/>
        <item x="1"/>
        <item h="1" x="2"/>
        <item t="default"/>
      </items>
    </pivotField>
    <pivotField showAll="0"/>
    <pivotField showAll="0">
      <items count="6">
        <item x="0"/>
        <item x="1"/>
        <item x="2"/>
        <item x="3"/>
        <item x="4"/>
        <item t="default"/>
      </items>
    </pivotField>
    <pivotField showAll="0"/>
    <pivotField dataField="1" showAll="0"/>
    <pivotField showAll="0"/>
    <pivotField showAll="0"/>
    <pivotField dataField="1" showAll="0"/>
    <pivotField dataField="1"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46">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Fields count="1">
    <field x="-2"/>
  </colFields>
  <colItems count="3">
    <i>
      <x/>
    </i>
    <i i="1">
      <x v="1"/>
    </i>
    <i i="2">
      <x v="2"/>
    </i>
  </colItems>
  <dataFields count="3">
    <dataField name="Sum of registered" fld="13" baseField="0" baseItem="0"/>
    <dataField name="Sum of casual" fld="12" baseField="0" baseItem="0"/>
    <dataField name="Sum of atemp" fld="9" baseField="0" baseItem="0"/>
  </dataFields>
  <formats count="12">
    <format dxfId="252">
      <pivotArea type="all" dataOnly="0" outline="0" fieldPosition="0"/>
    </format>
    <format dxfId="251">
      <pivotArea outline="0" collapsedLevelsAreSubtotals="1" fieldPosition="0"/>
    </format>
    <format dxfId="250">
      <pivotArea field="1" type="button" dataOnly="0" labelOnly="1" outline="0" axis="axisRow" fieldPosition="0"/>
    </format>
    <format dxfId="249">
      <pivotArea dataOnly="0" labelOnly="1" fieldPosition="0">
        <references count="1">
          <reference field="1" count="45">
            <x v="1"/>
            <x v="2"/>
            <x v="3"/>
            <x v="4"/>
            <x v="5"/>
            <x v="6"/>
            <x v="7"/>
            <x v="8"/>
            <x v="9"/>
            <x v="10"/>
            <x v="11"/>
            <x v="12"/>
            <x v="13"/>
            <x v="14"/>
            <x v="15"/>
            <x v="16"/>
            <x v="17"/>
            <x v="18"/>
            <x v="19"/>
            <x v="20"/>
            <x v="21"/>
            <x v="22"/>
            <x v="23"/>
            <x v="24"/>
            <x v="25"/>
            <x v="26"/>
            <x v="27"/>
            <x v="28"/>
            <x v="29"/>
            <x v="30"/>
            <x v="31"/>
            <x v="32"/>
            <x v="33"/>
            <x v="34"/>
            <x v="35"/>
            <x v="36"/>
            <x v="37"/>
            <x v="38"/>
            <x v="39"/>
            <x v="40"/>
            <x v="41"/>
            <x v="42"/>
            <x v="43"/>
            <x v="44"/>
            <x v="45"/>
          </reference>
        </references>
      </pivotArea>
    </format>
    <format dxfId="248">
      <pivotArea dataOnly="0" labelOnly="1" grandRow="1" outline="0" fieldPosition="0"/>
    </format>
    <format dxfId="247">
      <pivotArea dataOnly="0" labelOnly="1" outline="0" fieldPosition="0">
        <references count="1">
          <reference field="4294967294" count="3">
            <x v="0"/>
            <x v="1"/>
            <x v="2"/>
          </reference>
        </references>
      </pivotArea>
    </format>
    <format dxfId="246">
      <pivotArea type="all" dataOnly="0" outline="0" fieldPosition="0"/>
    </format>
    <format dxfId="245">
      <pivotArea outline="0" collapsedLevelsAreSubtotals="1" fieldPosition="0"/>
    </format>
    <format dxfId="244">
      <pivotArea field="1" type="button" dataOnly="0" labelOnly="1" outline="0" axis="axisRow" fieldPosition="0"/>
    </format>
    <format dxfId="243">
      <pivotArea dataOnly="0" labelOnly="1" fieldPosition="0">
        <references count="1">
          <reference field="1" count="45">
            <x v="1"/>
            <x v="2"/>
            <x v="3"/>
            <x v="4"/>
            <x v="5"/>
            <x v="6"/>
            <x v="7"/>
            <x v="8"/>
            <x v="9"/>
            <x v="10"/>
            <x v="11"/>
            <x v="12"/>
            <x v="13"/>
            <x v="14"/>
            <x v="15"/>
            <x v="16"/>
            <x v="17"/>
            <x v="18"/>
            <x v="19"/>
            <x v="20"/>
            <x v="21"/>
            <x v="22"/>
            <x v="23"/>
            <x v="24"/>
            <x v="25"/>
            <x v="26"/>
            <x v="27"/>
            <x v="28"/>
            <x v="29"/>
            <x v="30"/>
            <x v="31"/>
            <x v="32"/>
            <x v="33"/>
            <x v="34"/>
            <x v="35"/>
            <x v="36"/>
            <x v="37"/>
            <x v="38"/>
            <x v="39"/>
            <x v="40"/>
            <x v="41"/>
            <x v="42"/>
            <x v="43"/>
            <x v="44"/>
            <x v="45"/>
          </reference>
        </references>
      </pivotArea>
    </format>
    <format dxfId="242">
      <pivotArea dataOnly="0" labelOnly="1" grandRow="1" outline="0" fieldPosition="0"/>
    </format>
    <format dxfId="241">
      <pivotArea dataOnly="0" labelOnly="1" outline="0" fieldPosition="0">
        <references count="1">
          <reference field="4294967294" count="3">
            <x v="0"/>
            <x v="1"/>
            <x v="2"/>
          </reference>
        </references>
      </pivotArea>
    </format>
  </formats>
  <chartFormats count="6">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50039E-0F0F-4435-9016-397BFDC32158}"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6">
  <location ref="A4:F10" firstHeaderRow="0" firstDataRow="1" firstDataCol="1"/>
  <pivotFields count="16">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dataField="1" multipleItemSelectionAllowed="1" showAll="0">
      <items count="4">
        <item x="0"/>
        <item x="1"/>
        <item x="2"/>
        <item t="default"/>
      </items>
    </pivotField>
    <pivotField showAll="0"/>
    <pivotField axis="axisRow" showAll="0">
      <items count="4">
        <item x="0"/>
        <item x="1"/>
        <item h="1" x="2"/>
        <item t="default"/>
      </items>
    </pivotField>
    <pivotField dataField="1" showAll="0"/>
    <pivotField showAll="0">
      <items count="6">
        <item x="0"/>
        <item x="1"/>
        <item x="2"/>
        <item x="3"/>
        <item x="4"/>
        <item t="default"/>
      </items>
    </pivotField>
    <pivotField showAll="0"/>
    <pivotField showAll="0"/>
    <pivotField showAll="0"/>
    <pivotField showAll="0"/>
    <pivotField dataField="1" showAll="0"/>
    <pivotField dataField="1"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s>
  <rowFields count="2">
    <field x="5"/>
    <field x="3"/>
  </rowFields>
  <rowItems count="6">
    <i>
      <x/>
    </i>
    <i r="1">
      <x/>
    </i>
    <i r="1">
      <x v="1"/>
    </i>
    <i>
      <x v="1"/>
    </i>
    <i r="1">
      <x/>
    </i>
    <i t="grand">
      <x/>
    </i>
  </rowItems>
  <colFields count="1">
    <field x="-2"/>
  </colFields>
  <colItems count="5">
    <i>
      <x/>
    </i>
    <i i="1">
      <x v="1"/>
    </i>
    <i i="2">
      <x v="2"/>
    </i>
    <i i="3">
      <x v="3"/>
    </i>
    <i i="4">
      <x v="4"/>
    </i>
  </colItems>
  <dataFields count="5">
    <dataField name="Sum of mnth" fld="3" baseField="0" baseItem="0"/>
    <dataField name="Sum of weekday" fld="6" baseField="0" baseItem="0"/>
    <dataField name="Sum of casual" fld="12" baseField="0" baseItem="0"/>
    <dataField name="Sum of registered" fld="13" baseField="0" baseItem="0"/>
    <dataField name="Sum of cnt" fld="14" baseField="0" baseItem="0"/>
  </dataFields>
  <formats count="16">
    <format dxfId="268">
      <pivotArea type="all" dataOnly="0" outline="0" fieldPosition="0"/>
    </format>
    <format dxfId="267">
      <pivotArea outline="0" collapsedLevelsAreSubtotals="1" fieldPosition="0"/>
    </format>
    <format dxfId="266">
      <pivotArea field="5" type="button" dataOnly="0" labelOnly="1" outline="0" axis="axisRow" fieldPosition="0"/>
    </format>
    <format dxfId="265">
      <pivotArea dataOnly="0" labelOnly="1" fieldPosition="0">
        <references count="1">
          <reference field="5" count="2">
            <x v="0"/>
            <x v="1"/>
          </reference>
        </references>
      </pivotArea>
    </format>
    <format dxfId="264">
      <pivotArea dataOnly="0" labelOnly="1" grandRow="1" outline="0" fieldPosition="0"/>
    </format>
    <format dxfId="263">
      <pivotArea dataOnly="0" labelOnly="1" fieldPosition="0">
        <references count="2">
          <reference field="3" count="0"/>
          <reference field="5" count="1" selected="0">
            <x v="0"/>
          </reference>
        </references>
      </pivotArea>
    </format>
    <format dxfId="262">
      <pivotArea dataOnly="0" labelOnly="1" fieldPosition="0">
        <references count="2">
          <reference field="3" count="1">
            <x v="0"/>
          </reference>
          <reference field="5" count="1" selected="0">
            <x v="1"/>
          </reference>
        </references>
      </pivotArea>
    </format>
    <format dxfId="261">
      <pivotArea dataOnly="0" labelOnly="1" outline="0" fieldPosition="0">
        <references count="1">
          <reference field="4294967294" count="5">
            <x v="0"/>
            <x v="1"/>
            <x v="2"/>
            <x v="3"/>
            <x v="4"/>
          </reference>
        </references>
      </pivotArea>
    </format>
    <format dxfId="260">
      <pivotArea type="all" dataOnly="0" outline="0" fieldPosition="0"/>
    </format>
    <format dxfId="259">
      <pivotArea outline="0" collapsedLevelsAreSubtotals="1" fieldPosition="0"/>
    </format>
    <format dxfId="258">
      <pivotArea field="5" type="button" dataOnly="0" labelOnly="1" outline="0" axis="axisRow" fieldPosition="0"/>
    </format>
    <format dxfId="257">
      <pivotArea dataOnly="0" labelOnly="1" fieldPosition="0">
        <references count="1">
          <reference field="5" count="2">
            <x v="0"/>
            <x v="1"/>
          </reference>
        </references>
      </pivotArea>
    </format>
    <format dxfId="256">
      <pivotArea dataOnly="0" labelOnly="1" grandRow="1" outline="0" fieldPosition="0"/>
    </format>
    <format dxfId="255">
      <pivotArea dataOnly="0" labelOnly="1" fieldPosition="0">
        <references count="2">
          <reference field="3" count="0"/>
          <reference field="5" count="1" selected="0">
            <x v="0"/>
          </reference>
        </references>
      </pivotArea>
    </format>
    <format dxfId="254">
      <pivotArea dataOnly="0" labelOnly="1" fieldPosition="0">
        <references count="2">
          <reference field="3" count="1">
            <x v="0"/>
          </reference>
          <reference field="5" count="1" selected="0">
            <x v="1"/>
          </reference>
        </references>
      </pivotArea>
    </format>
    <format dxfId="253">
      <pivotArea dataOnly="0" labelOnly="1" outline="0" fieldPosition="0">
        <references count="1">
          <reference field="4294967294" count="5">
            <x v="0"/>
            <x v="1"/>
            <x v="2"/>
            <x v="3"/>
            <x v="4"/>
          </reference>
        </references>
      </pivotArea>
    </format>
  </formats>
  <chartFormats count="15">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2"/>
          </reference>
        </references>
      </pivotArea>
    </chartFormat>
    <chartFormat chart="12" format="3" series="1">
      <pivotArea type="data" outline="0" fieldPosition="0">
        <references count="1">
          <reference field="4294967294" count="1" selected="0">
            <x v="3"/>
          </reference>
        </references>
      </pivotArea>
    </chartFormat>
    <chartFormat chart="12" format="4" series="1">
      <pivotArea type="data" outline="0" fieldPosition="0">
        <references count="1">
          <reference field="4294967294" count="1" selected="0">
            <x v="4"/>
          </reference>
        </references>
      </pivotArea>
    </chartFormat>
    <chartFormat chart="14" format="230" series="1">
      <pivotArea type="data" outline="0" fieldPosition="0">
        <references count="1">
          <reference field="4294967294" count="1" selected="0">
            <x v="0"/>
          </reference>
        </references>
      </pivotArea>
    </chartFormat>
    <chartFormat chart="14" format="231" series="1">
      <pivotArea type="data" outline="0" fieldPosition="0">
        <references count="1">
          <reference field="4294967294" count="1" selected="0">
            <x v="1"/>
          </reference>
        </references>
      </pivotArea>
    </chartFormat>
    <chartFormat chart="14" format="232" series="1">
      <pivotArea type="data" outline="0" fieldPosition="0">
        <references count="1">
          <reference field="4294967294" count="1" selected="0">
            <x v="2"/>
          </reference>
        </references>
      </pivotArea>
    </chartFormat>
    <chartFormat chart="14" format="233" series="1">
      <pivotArea type="data" outline="0" fieldPosition="0">
        <references count="1">
          <reference field="4294967294" count="1" selected="0">
            <x v="3"/>
          </reference>
        </references>
      </pivotArea>
    </chartFormat>
    <chartFormat chart="14" format="234" series="1">
      <pivotArea type="data" outline="0" fieldPosition="0">
        <references count="1">
          <reference field="4294967294" count="1" selected="0">
            <x v="4"/>
          </reference>
        </references>
      </pivotArea>
    </chartFormat>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19" format="2" series="1">
      <pivotArea type="data" outline="0" fieldPosition="0">
        <references count="1">
          <reference field="4294967294" count="1" selected="0">
            <x v="2"/>
          </reference>
        </references>
      </pivotArea>
    </chartFormat>
    <chartFormat chart="19" format="3" series="1">
      <pivotArea type="data" outline="0" fieldPosition="0">
        <references count="1">
          <reference field="4294967294" count="1" selected="0">
            <x v="3"/>
          </reference>
        </references>
      </pivotArea>
    </chartFormat>
    <chartFormat chart="19"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A6BBA0-8F0E-4BC6-A7B8-435FC36F4884}"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5:I8" firstHeaderRow="0" firstDataRow="1" firstDataCol="1" rowPageCount="3" colPageCount="1"/>
  <pivotFields count="16">
    <pivotField showAll="0">
      <items count="1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t="default"/>
      </items>
    </pivotField>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Page" multipleItemSelectionAllowed="1" showAll="0">
      <items count="4">
        <item x="0"/>
        <item x="1"/>
        <item x="2"/>
        <item t="default"/>
      </items>
    </pivotField>
    <pivotField axis="axisPage"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axis="axisRow" showAll="0">
      <items count="4">
        <item x="0"/>
        <item x="1"/>
        <item h="1" x="2"/>
        <item t="default"/>
      </items>
    </pivotField>
    <pivotField axis="axisPage" showAll="0">
      <items count="9">
        <item x="1"/>
        <item x="2"/>
        <item x="3"/>
        <item x="4"/>
        <item x="5"/>
        <item x="6"/>
        <item x="0"/>
        <item x="7"/>
        <item t="default"/>
      </items>
    </pivotField>
    <pivotField dataField="1" showAll="0">
      <items count="6">
        <item x="0"/>
        <item x="1"/>
        <item x="2"/>
        <item x="3"/>
        <item x="4"/>
        <item t="default"/>
      </items>
    </pivotField>
    <pivotField dataField="1" showAll="0"/>
    <pivotField dataField="1" showAll="0"/>
    <pivotField dataField="1" showAll="0"/>
    <pivotField dataField="1" showAll="0"/>
    <pivotField dataField="1" showAll="0"/>
    <pivotField dataField="1"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15"/>
    <field x="1"/>
    <field x="5"/>
  </rowFields>
  <rowItems count="3">
    <i>
      <x v="1"/>
    </i>
    <i>
      <x v="2"/>
    </i>
    <i t="grand">
      <x/>
    </i>
  </rowItems>
  <colFields count="1">
    <field x="-2"/>
  </colFields>
  <colItems count="8">
    <i>
      <x/>
    </i>
    <i i="1">
      <x v="1"/>
    </i>
    <i i="2">
      <x v="2"/>
    </i>
    <i i="3">
      <x v="3"/>
    </i>
    <i i="4">
      <x v="4"/>
    </i>
    <i i="5">
      <x v="5"/>
    </i>
    <i i="6">
      <x v="6"/>
    </i>
    <i i="7">
      <x v="7"/>
    </i>
  </colItems>
  <pageFields count="3">
    <pageField fld="3" hier="-1"/>
    <pageField fld="4" hier="-1"/>
    <pageField fld="6" item="6" hier="-1"/>
  </pageFields>
  <dataFields count="8">
    <dataField name="Sum of weathersit" fld="7" baseField="0" baseItem="0"/>
    <dataField name="Sum of temp" fld="8" baseField="0" baseItem="0"/>
    <dataField name="Sum of atemp" fld="9" baseField="0" baseItem="0"/>
    <dataField name="Sum of hum" fld="10" baseField="0" baseItem="0"/>
    <dataField name="Sum of windspeed" fld="11" baseField="0" baseItem="0"/>
    <dataField name="Sum of cnt" fld="14" baseField="0" baseItem="0"/>
    <dataField name="Sum of registered" fld="13" baseField="0" baseItem="0"/>
    <dataField name="Sum of casual" fld="12" baseField="0" baseItem="0"/>
  </dataFields>
  <chartFormats count="24">
    <chartFormat chart="0" format="5"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1"/>
          </reference>
        </references>
      </pivotArea>
    </chartFormat>
    <chartFormat chart="0" format="7" series="1">
      <pivotArea type="data" outline="0" fieldPosition="0">
        <references count="1">
          <reference field="4294967294" count="1" selected="0">
            <x v="2"/>
          </reference>
        </references>
      </pivotArea>
    </chartFormat>
    <chartFormat chart="0" format="8" series="1">
      <pivotArea type="data" outline="0" fieldPosition="0">
        <references count="1">
          <reference field="4294967294" count="1" selected="0">
            <x v="3"/>
          </reference>
        </references>
      </pivotArea>
    </chartFormat>
    <chartFormat chart="0" format="9" series="1">
      <pivotArea type="data" outline="0" fieldPosition="0">
        <references count="1">
          <reference field="4294967294" count="1" selected="0">
            <x v="4"/>
          </reference>
        </references>
      </pivotArea>
    </chartFormat>
    <chartFormat chart="0" format="10" series="1">
      <pivotArea type="data" outline="0" fieldPosition="0">
        <references count="1">
          <reference field="4294967294" count="1" selected="0">
            <x v="5"/>
          </reference>
        </references>
      </pivotArea>
    </chartFormat>
    <chartFormat chart="0" format="11" series="1">
      <pivotArea type="data" outline="0" fieldPosition="0">
        <references count="1">
          <reference field="4294967294" count="1" selected="0">
            <x v="6"/>
          </reference>
        </references>
      </pivotArea>
    </chartFormat>
    <chartFormat chart="0" format="12" series="1">
      <pivotArea type="data" outline="0" fieldPosition="0">
        <references count="1">
          <reference field="4294967294" count="1" selected="0">
            <x v="7"/>
          </reference>
        </references>
      </pivotArea>
    </chartFormat>
    <chartFormat chart="4" format="21" series="1">
      <pivotArea type="data" outline="0" fieldPosition="0">
        <references count="1">
          <reference field="4294967294" count="1" selected="0">
            <x v="0"/>
          </reference>
        </references>
      </pivotArea>
    </chartFormat>
    <chartFormat chart="4" format="22" series="1">
      <pivotArea type="data" outline="0" fieldPosition="0">
        <references count="1">
          <reference field="4294967294" count="1" selected="0">
            <x v="1"/>
          </reference>
        </references>
      </pivotArea>
    </chartFormat>
    <chartFormat chart="4" format="23" series="1">
      <pivotArea type="data" outline="0" fieldPosition="0">
        <references count="1">
          <reference field="4294967294" count="1" selected="0">
            <x v="2"/>
          </reference>
        </references>
      </pivotArea>
    </chartFormat>
    <chartFormat chart="4" format="24" series="1">
      <pivotArea type="data" outline="0" fieldPosition="0">
        <references count="1">
          <reference field="4294967294" count="1" selected="0">
            <x v="3"/>
          </reference>
        </references>
      </pivotArea>
    </chartFormat>
    <chartFormat chart="4" format="25" series="1">
      <pivotArea type="data" outline="0" fieldPosition="0">
        <references count="1">
          <reference field="4294967294" count="1" selected="0">
            <x v="4"/>
          </reference>
        </references>
      </pivotArea>
    </chartFormat>
    <chartFormat chart="4" format="26" series="1">
      <pivotArea type="data" outline="0" fieldPosition="0">
        <references count="1">
          <reference field="4294967294" count="1" selected="0">
            <x v="5"/>
          </reference>
        </references>
      </pivotArea>
    </chartFormat>
    <chartFormat chart="4" format="27" series="1">
      <pivotArea type="data" outline="0" fieldPosition="0">
        <references count="1">
          <reference field="4294967294" count="1" selected="0">
            <x v="6"/>
          </reference>
        </references>
      </pivotArea>
    </chartFormat>
    <chartFormat chart="4" format="28" series="1">
      <pivotArea type="data" outline="0" fieldPosition="0">
        <references count="1">
          <reference field="4294967294" count="1" selected="0">
            <x v="7"/>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2"/>
          </reference>
        </references>
      </pivotArea>
    </chartFormat>
    <chartFormat chart="11" format="3" series="1">
      <pivotArea type="data" outline="0" fieldPosition="0">
        <references count="1">
          <reference field="4294967294" count="1" selected="0">
            <x v="3"/>
          </reference>
        </references>
      </pivotArea>
    </chartFormat>
    <chartFormat chart="11" format="4" series="1">
      <pivotArea type="data" outline="0" fieldPosition="0">
        <references count="1">
          <reference field="4294967294" count="1" selected="0">
            <x v="4"/>
          </reference>
        </references>
      </pivotArea>
    </chartFormat>
    <chartFormat chart="11" format="5" series="1">
      <pivotArea type="data" outline="0" fieldPosition="0">
        <references count="1">
          <reference field="4294967294" count="1" selected="0">
            <x v="5"/>
          </reference>
        </references>
      </pivotArea>
    </chartFormat>
    <chartFormat chart="11" format="6" series="1">
      <pivotArea type="data" outline="0" fieldPosition="0">
        <references count="1">
          <reference field="4294967294" count="1" selected="0">
            <x v="6"/>
          </reference>
        </references>
      </pivotArea>
    </chartFormat>
    <chartFormat chart="11" format="7" series="1">
      <pivotArea type="data" outline="0" fieldPosition="0">
        <references count="1">
          <reference field="429496729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1896A2D4-AC90-417F-8CB1-1AE26ECD2A68}" autoFormatId="16" applyNumberFormats="0" applyBorderFormats="0" applyFontFormats="0" applyPatternFormats="0" applyAlignmentFormats="0" applyWidthHeightFormats="0">
  <queryTableRefresh nextId="17">
    <queryTableFields count="15">
      <queryTableField id="2" name="instant" tableColumnId="2"/>
      <queryTableField id="3" name="dteday" tableColumnId="3"/>
      <queryTableField id="4" name="season"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DeletedFields count="1">
      <deletedField name="dataset1"/>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nth" xr10:uid="{B12753F6-B274-44B3-8074-CA0F3E9FDEB2}" sourceName="mnth">
  <pivotTables>
    <pivotTable tabId="5" name="PivotTable2"/>
    <pivotTable tabId="6" name="PivotTable5"/>
    <pivotTable tabId="5" name="PivotTable3"/>
    <pivotTable tabId="5" name="PivotTable4"/>
  </pivotTables>
  <data>
    <tabular pivotCacheId="149044659">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 xr10:uid="{C05A0F22-D579-4040-A769-A74A6DE96ED8}" sourceName="holiday">
  <pivotTables>
    <pivotTable tabId="5" name="PivotTable2"/>
    <pivotTable tabId="6" name="PivotTable5"/>
    <pivotTable tabId="5" name="PivotTable3"/>
    <pivotTable tabId="5" name="PivotTable4"/>
  </pivotTables>
  <data>
    <tabular pivotCacheId="149044659">
      <items count="3">
        <i x="0" s="1"/>
        <i x="1"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 xr10:uid="{5775165F-A080-498C-9CBA-DA52C7500670}" sourceName="weathersit">
  <pivotTables>
    <pivotTable tabId="6" name="PivotTable5"/>
    <pivotTable tabId="5" name="PivotTable2"/>
    <pivotTable tabId="5" name="PivotTable3"/>
    <pivotTable tabId="5" name="PivotTable4"/>
  </pivotTables>
  <data>
    <tabular pivotCacheId="149044659">
      <items count="5">
        <i x="0" s="1"/>
        <i x="1" s="1"/>
        <i x="2" s="1"/>
        <i x="3" s="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teday" xr10:uid="{DCE51803-3A32-401D-9BF7-976DC05190DA}" sourceName="dteday">
  <pivotTables>
    <pivotTable tabId="5" name="PivotTable3"/>
    <pivotTable tabId="6" name="PivotTable5"/>
    <pivotTable tabId="5" name="PivotTable2"/>
    <pivotTable tabId="5" name="PivotTable4"/>
  </pivotTables>
  <data>
    <tabular pivotCacheId="149044659">
      <items count="368">
        <i x="32" s="1"/>
        <i x="1" s="1"/>
        <i x="33" s="1"/>
        <i x="2" s="1"/>
        <i x="34" s="1"/>
        <i x="3" s="1"/>
        <i x="35" s="1"/>
        <i x="4" s="1"/>
        <i x="36" s="1"/>
        <i x="5" s="1"/>
        <i x="37" s="1"/>
        <i x="6" s="1"/>
        <i x="38" s="1"/>
        <i x="7" s="1"/>
        <i x="39" s="1"/>
        <i x="8" s="1"/>
        <i x="40" s="1"/>
        <i x="9" s="1"/>
        <i x="41" s="1"/>
        <i x="10" s="1"/>
        <i x="42" s="1"/>
        <i x="11" s="1"/>
        <i x="43" s="1"/>
        <i x="12" s="1"/>
        <i x="44" s="1"/>
        <i x="13" s="1"/>
        <i x="45" s="1"/>
        <i x="14" s="1"/>
        <i x="15" s="1"/>
        <i x="16" s="1"/>
        <i x="17" s="1"/>
        <i x="18" s="1"/>
        <i x="19" s="1"/>
        <i x="20" s="1"/>
        <i x="21" s="1"/>
        <i x="22" s="1"/>
        <i x="23" s="1"/>
        <i x="24" s="1"/>
        <i x="25" s="1"/>
        <i x="26" s="1"/>
        <i x="27" s="1"/>
        <i x="28" s="1"/>
        <i x="29" s="1"/>
        <i x="30" s="1"/>
        <i x="31" s="1"/>
        <i x="0" s="1" nd="1"/>
        <i x="367" s="1" nd="1"/>
        <i x="92" s="1" nd="1"/>
        <i x="214" s="1" nd="1"/>
        <i x="336" s="1" nd="1"/>
        <i x="183" s="1" nd="1"/>
        <i x="153" s="1" nd="1"/>
        <i x="61" s="1" nd="1"/>
        <i x="122" s="1" nd="1"/>
        <i x="306" s="1" nd="1"/>
        <i x="275" s="1" nd="1"/>
        <i x="245" s="1" nd="1"/>
        <i x="93" s="1" nd="1"/>
        <i x="215" s="1" nd="1"/>
        <i x="337" s="1" nd="1"/>
        <i x="184" s="1" nd="1"/>
        <i x="154" s="1" nd="1"/>
        <i x="62" s="1" nd="1"/>
        <i x="123" s="1" nd="1"/>
        <i x="307" s="1" nd="1"/>
        <i x="276" s="1" nd="1"/>
        <i x="246" s="1" nd="1"/>
        <i x="94" s="1" nd="1"/>
        <i x="216" s="1" nd="1"/>
        <i x="338" s="1" nd="1"/>
        <i x="185" s="1" nd="1"/>
        <i x="155" s="1" nd="1"/>
        <i x="63" s="1" nd="1"/>
        <i x="124" s="1" nd="1"/>
        <i x="308" s="1" nd="1"/>
        <i x="277" s="1" nd="1"/>
        <i x="247" s="1" nd="1"/>
        <i x="95" s="1" nd="1"/>
        <i x="217" s="1" nd="1"/>
        <i x="339" s="1" nd="1"/>
        <i x="186" s="1" nd="1"/>
        <i x="156" s="1" nd="1"/>
        <i x="64" s="1" nd="1"/>
        <i x="125" s="1" nd="1"/>
        <i x="309" s="1" nd="1"/>
        <i x="278" s="1" nd="1"/>
        <i x="248" s="1" nd="1"/>
        <i x="96" s="1" nd="1"/>
        <i x="218" s="1" nd="1"/>
        <i x="340" s="1" nd="1"/>
        <i x="187" s="1" nd="1"/>
        <i x="157" s="1" nd="1"/>
        <i x="65" s="1" nd="1"/>
        <i x="126" s="1" nd="1"/>
        <i x="310" s="1" nd="1"/>
        <i x="279" s="1" nd="1"/>
        <i x="249" s="1" nd="1"/>
        <i x="97" s="1" nd="1"/>
        <i x="219" s="1" nd="1"/>
        <i x="341" s="1" nd="1"/>
        <i x="188" s="1" nd="1"/>
        <i x="158" s="1" nd="1"/>
        <i x="66" s="1" nd="1"/>
        <i x="127" s="1" nd="1"/>
        <i x="311" s="1" nd="1"/>
        <i x="280" s="1" nd="1"/>
        <i x="250" s="1" nd="1"/>
        <i x="98" s="1" nd="1"/>
        <i x="220" s="1" nd="1"/>
        <i x="342" s="1" nd="1"/>
        <i x="189" s="1" nd="1"/>
        <i x="159" s="1" nd="1"/>
        <i x="67" s="1" nd="1"/>
        <i x="128" s="1" nd="1"/>
        <i x="312" s="1" nd="1"/>
        <i x="281" s="1" nd="1"/>
        <i x="251" s="1" nd="1"/>
        <i x="99" s="1" nd="1"/>
        <i x="221" s="1" nd="1"/>
        <i x="343" s="1" nd="1"/>
        <i x="190" s="1" nd="1"/>
        <i x="160" s="1" nd="1"/>
        <i x="68" s="1" nd="1"/>
        <i x="129" s="1" nd="1"/>
        <i x="313" s="1" nd="1"/>
        <i x="282" s="1" nd="1"/>
        <i x="252" s="1" nd="1"/>
        <i x="100" s="1" nd="1"/>
        <i x="222" s="1" nd="1"/>
        <i x="344" s="1" nd="1"/>
        <i x="191" s="1" nd="1"/>
        <i x="161" s="1" nd="1"/>
        <i x="69" s="1" nd="1"/>
        <i x="130" s="1" nd="1"/>
        <i x="314" s="1" nd="1"/>
        <i x="283" s="1" nd="1"/>
        <i x="253" s="1" nd="1"/>
        <i x="101" s="1" nd="1"/>
        <i x="223" s="1" nd="1"/>
        <i x="345" s="1" nd="1"/>
        <i x="192" s="1" nd="1"/>
        <i x="162" s="1" nd="1"/>
        <i x="70" s="1" nd="1"/>
        <i x="131" s="1" nd="1"/>
        <i x="315" s="1" nd="1"/>
        <i x="284" s="1" nd="1"/>
        <i x="254" s="1" nd="1"/>
        <i x="102" s="1" nd="1"/>
        <i x="224" s="1" nd="1"/>
        <i x="346" s="1" nd="1"/>
        <i x="193" s="1" nd="1"/>
        <i x="163" s="1" nd="1"/>
        <i x="71" s="1" nd="1"/>
        <i x="132" s="1" nd="1"/>
        <i x="316" s="1" nd="1"/>
        <i x="285" s="1" nd="1"/>
        <i x="255" s="1" nd="1"/>
        <i x="103" s="1" nd="1"/>
        <i x="225" s="1" nd="1"/>
        <i x="347" s="1" nd="1"/>
        <i x="194" s="1" nd="1"/>
        <i x="164" s="1" nd="1"/>
        <i x="72" s="1" nd="1"/>
        <i x="133" s="1" nd="1"/>
        <i x="317" s="1" nd="1"/>
        <i x="286" s="1" nd="1"/>
        <i x="256" s="1" nd="1"/>
        <i x="104" s="1" nd="1"/>
        <i x="226" s="1" nd="1"/>
        <i x="348" s="1" nd="1"/>
        <i x="195" s="1" nd="1"/>
        <i x="165" s="1" nd="1"/>
        <i x="73" s="1" nd="1"/>
        <i x="134" s="1" nd="1"/>
        <i x="318" s="1" nd="1"/>
        <i x="287" s="1" nd="1"/>
        <i x="257" s="1" nd="1"/>
        <i x="105" s="1" nd="1"/>
        <i x="227" s="1" nd="1"/>
        <i x="349" s="1" nd="1"/>
        <i x="196" s="1" nd="1"/>
        <i x="166" s="1" nd="1"/>
        <i x="74" s="1" nd="1"/>
        <i x="135" s="1" nd="1"/>
        <i x="319" s="1" nd="1"/>
        <i x="288" s="1" nd="1"/>
        <i x="258" s="1" nd="1"/>
        <i x="106" s="1" nd="1"/>
        <i x="228" s="1" nd="1"/>
        <i x="350" s="1" nd="1"/>
        <i x="46" s="1" nd="1"/>
        <i x="197" s="1" nd="1"/>
        <i x="167" s="1" nd="1"/>
        <i x="75" s="1" nd="1"/>
        <i x="136" s="1" nd="1"/>
        <i x="320" s="1" nd="1"/>
        <i x="289" s="1" nd="1"/>
        <i x="259" s="1" nd="1"/>
        <i x="107" s="1" nd="1"/>
        <i x="229" s="1" nd="1"/>
        <i x="351" s="1" nd="1"/>
        <i x="47" s="1" nd="1"/>
        <i x="198" s="1" nd="1"/>
        <i x="168" s="1" nd="1"/>
        <i x="76" s="1" nd="1"/>
        <i x="137" s="1" nd="1"/>
        <i x="321" s="1" nd="1"/>
        <i x="290" s="1" nd="1"/>
        <i x="260" s="1" nd="1"/>
        <i x="108" s="1" nd="1"/>
        <i x="230" s="1" nd="1"/>
        <i x="352" s="1" nd="1"/>
        <i x="48" s="1" nd="1"/>
        <i x="199" s="1" nd="1"/>
        <i x="169" s="1" nd="1"/>
        <i x="77" s="1" nd="1"/>
        <i x="138" s="1" nd="1"/>
        <i x="322" s="1" nd="1"/>
        <i x="291" s="1" nd="1"/>
        <i x="261" s="1" nd="1"/>
        <i x="109" s="1" nd="1"/>
        <i x="231" s="1" nd="1"/>
        <i x="353" s="1" nd="1"/>
        <i x="49" s="1" nd="1"/>
        <i x="200" s="1" nd="1"/>
        <i x="170" s="1" nd="1"/>
        <i x="78" s="1" nd="1"/>
        <i x="139" s="1" nd="1"/>
        <i x="323" s="1" nd="1"/>
        <i x="292" s="1" nd="1"/>
        <i x="262" s="1" nd="1"/>
        <i x="110" s="1" nd="1"/>
        <i x="232" s="1" nd="1"/>
        <i x="354" s="1" nd="1"/>
        <i x="50" s="1" nd="1"/>
        <i x="201" s="1" nd="1"/>
        <i x="171" s="1" nd="1"/>
        <i x="79" s="1" nd="1"/>
        <i x="140" s="1" nd="1"/>
        <i x="324" s="1" nd="1"/>
        <i x="293" s="1" nd="1"/>
        <i x="263" s="1" nd="1"/>
        <i x="111" s="1" nd="1"/>
        <i x="233" s="1" nd="1"/>
        <i x="355" s="1" nd="1"/>
        <i x="51" s="1" nd="1"/>
        <i x="202" s="1" nd="1"/>
        <i x="172" s="1" nd="1"/>
        <i x="80" s="1" nd="1"/>
        <i x="141" s="1" nd="1"/>
        <i x="325" s="1" nd="1"/>
        <i x="294" s="1" nd="1"/>
        <i x="264" s="1" nd="1"/>
        <i x="112" s="1" nd="1"/>
        <i x="234" s="1" nd="1"/>
        <i x="356" s="1" nd="1"/>
        <i x="52" s="1" nd="1"/>
        <i x="203" s="1" nd="1"/>
        <i x="173" s="1" nd="1"/>
        <i x="81" s="1" nd="1"/>
        <i x="142" s="1" nd="1"/>
        <i x="326" s="1" nd="1"/>
        <i x="295" s="1" nd="1"/>
        <i x="265" s="1" nd="1"/>
        <i x="113" s="1" nd="1"/>
        <i x="235" s="1" nd="1"/>
        <i x="357" s="1" nd="1"/>
        <i x="53" s="1" nd="1"/>
        <i x="204" s="1" nd="1"/>
        <i x="174" s="1" nd="1"/>
        <i x="82" s="1" nd="1"/>
        <i x="143" s="1" nd="1"/>
        <i x="327" s="1" nd="1"/>
        <i x="296" s="1" nd="1"/>
        <i x="266" s="1" nd="1"/>
        <i x="114" s="1" nd="1"/>
        <i x="236" s="1" nd="1"/>
        <i x="358" s="1" nd="1"/>
        <i x="54" s="1" nd="1"/>
        <i x="205" s="1" nd="1"/>
        <i x="175" s="1" nd="1"/>
        <i x="83" s="1" nd="1"/>
        <i x="144" s="1" nd="1"/>
        <i x="328" s="1" nd="1"/>
        <i x="297" s="1" nd="1"/>
        <i x="267" s="1" nd="1"/>
        <i x="115" s="1" nd="1"/>
        <i x="237" s="1" nd="1"/>
        <i x="359" s="1" nd="1"/>
        <i x="55" s="1" nd="1"/>
        <i x="206" s="1" nd="1"/>
        <i x="176" s="1" nd="1"/>
        <i x="84" s="1" nd="1"/>
        <i x="145" s="1" nd="1"/>
        <i x="329" s="1" nd="1"/>
        <i x="298" s="1" nd="1"/>
        <i x="268" s="1" nd="1"/>
        <i x="116" s="1" nd="1"/>
        <i x="238" s="1" nd="1"/>
        <i x="360" s="1" nd="1"/>
        <i x="56" s="1" nd="1"/>
        <i x="207" s="1" nd="1"/>
        <i x="177" s="1" nd="1"/>
        <i x="85" s="1" nd="1"/>
        <i x="146" s="1" nd="1"/>
        <i x="330" s="1" nd="1"/>
        <i x="299" s="1" nd="1"/>
        <i x="269" s="1" nd="1"/>
        <i x="117" s="1" nd="1"/>
        <i x="239" s="1" nd="1"/>
        <i x="361" s="1" nd="1"/>
        <i x="57" s="1" nd="1"/>
        <i x="208" s="1" nd="1"/>
        <i x="178" s="1" nd="1"/>
        <i x="86" s="1" nd="1"/>
        <i x="147" s="1" nd="1"/>
        <i x="331" s="1" nd="1"/>
        <i x="300" s="1" nd="1"/>
        <i x="270" s="1" nd="1"/>
        <i x="118" s="1" nd="1"/>
        <i x="240" s="1" nd="1"/>
        <i x="362" s="1" nd="1"/>
        <i x="58" s="1" nd="1"/>
        <i x="209" s="1" nd="1"/>
        <i x="179" s="1" nd="1"/>
        <i x="87" s="1" nd="1"/>
        <i x="148" s="1" nd="1"/>
        <i x="332" s="1" nd="1"/>
        <i x="301" s="1" nd="1"/>
        <i x="271" s="1" nd="1"/>
        <i x="119" s="1" nd="1"/>
        <i x="241" s="1" nd="1"/>
        <i x="363" s="1" nd="1"/>
        <i x="59" s="1" nd="1"/>
        <i x="210" s="1" nd="1"/>
        <i x="180" s="1" nd="1"/>
        <i x="88" s="1" nd="1"/>
        <i x="149" s="1" nd="1"/>
        <i x="333" s="1" nd="1"/>
        <i x="302" s="1" nd="1"/>
        <i x="272" s="1" nd="1"/>
        <i x="120" s="1" nd="1"/>
        <i x="242" s="1" nd="1"/>
        <i x="364" s="1" nd="1"/>
        <i x="60" s="1" nd="1"/>
        <i x="211" s="1" nd="1"/>
        <i x="181" s="1" nd="1"/>
        <i x="89" s="1" nd="1"/>
        <i x="150" s="1" nd="1"/>
        <i x="334" s="1" nd="1"/>
        <i x="303" s="1" nd="1"/>
        <i x="273" s="1" nd="1"/>
        <i x="121" s="1" nd="1"/>
        <i x="243" s="1" nd="1"/>
        <i x="365" s="1" nd="1"/>
        <i x="212" s="1" nd="1"/>
        <i x="182" s="1" nd="1"/>
        <i x="90" s="1" nd="1"/>
        <i x="151" s="1" nd="1"/>
        <i x="335" s="1" nd="1"/>
        <i x="304" s="1" nd="1"/>
        <i x="274" s="1" nd="1"/>
        <i x="244" s="1" nd="1"/>
        <i x="366" s="1" nd="1"/>
        <i x="213" s="1" nd="1"/>
        <i x="91" s="1" nd="1"/>
        <i x="152" s="1" nd="1"/>
        <i x="305"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89BC596D-E7C8-477D-972B-4D9E67410732}" sourceName="weekday">
  <pivotTables>
    <pivotTable tabId="6" name="PivotTable5"/>
  </pivotTables>
  <data>
    <tabular pivotCacheId="149044659">
      <items count="8">
        <i x="1"/>
        <i x="2"/>
        <i x="3"/>
        <i x="4"/>
        <i x="5"/>
        <i x="6"/>
        <i x="0" s="1"/>
        <i x="7"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nth 1" xr10:uid="{6D2DAB61-0CB1-4FFC-A201-0BC7F9322EC0}" cache="Slicer_mnth" caption="mnth" rowHeight="241300"/>
  <slicer name="weekday" xr10:uid="{11C01AA1-E570-4F03-816A-772338242086}" cache="Slicer_weekday" caption="weekda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nth" xr10:uid="{AFD16893-EEA7-41A4-BCE2-7AC0A4CC27B5}" cache="Slicer_mnth" caption="mnth" rowHeight="241300"/>
  <slicer name="holiday" xr10:uid="{C7BF8619-A30D-4E20-A105-BE93D1F9C624}" cache="Slicer_holiday" caption="holiday" rowHeight="241300"/>
  <slicer name="weathersit" xr10:uid="{3371E3F2-CCC7-4256-881A-59C895FC8EBA}" cache="Slicer_weathersit" caption="weathersit" rowHeight="241300"/>
  <slicer name="dteday" xr10:uid="{3E3FBB2B-9837-43DE-A4F1-5F2C46FF0BA5}" cache="Slicer_dteday" caption="dteday" startItem="2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BF55FF-2DD8-464A-8D6E-2299B835AB0B}" name="New_folder__2" displayName="New_folder__2" ref="A1:O1394" tableType="queryTable" totalsRowCount="1" totalsRowDxfId="16">
  <autoFilter ref="A1:O1393" xr:uid="{94BF55FF-2DD8-464A-8D6E-2299B835AB0B}">
    <filterColumn colId="0">
      <customFilters>
        <customFilter operator="notEqual" val=" "/>
      </customFilters>
    </filterColumn>
  </autoFilter>
  <tableColumns count="15">
    <tableColumn id="2" xr3:uid="{B31E5CB9-D29D-4EDA-9013-693108A0F5A7}" uniqueName="2" name="instant" queryTableFieldId="2" totalsRowDxfId="15"/>
    <tableColumn id="3" xr3:uid="{83A3423E-12BE-4899-A8E7-4B987DA8F932}" uniqueName="3" name="dteday" queryTableFieldId="3" dataDxfId="13" totalsRowDxfId="14"/>
    <tableColumn id="4" xr3:uid="{E18045C7-8FC5-48CE-A734-9773C36B11EB}" uniqueName="4" name="season" queryTableFieldId="4" totalsRowDxfId="12"/>
    <tableColumn id="5" xr3:uid="{174E4668-B3BD-4D5C-8D9A-89E9FCA37BA7}" uniqueName="5" name="mnth" queryTableFieldId="5" totalsRowDxfId="11"/>
    <tableColumn id="6" xr3:uid="{994F4D12-01BB-471F-95C6-6A252C231AD8}" uniqueName="6" name="hr" queryTableFieldId="6" totalsRowDxfId="10"/>
    <tableColumn id="7" xr3:uid="{EEAC38AC-87A0-4348-B16A-337819A6835C}" uniqueName="7" name="holiday" queryTableFieldId="7" totalsRowDxfId="9"/>
    <tableColumn id="8" xr3:uid="{223DF74F-E3A6-49E1-BBAA-E881E19E791E}" uniqueName="8" name="weekday" queryTableFieldId="8" totalsRowDxfId="8"/>
    <tableColumn id="9" xr3:uid="{E16A9E23-C8BE-4C1E-947D-D0282812280C}" uniqueName="9" name="weathersit" queryTableFieldId="9" totalsRowDxfId="7"/>
    <tableColumn id="10" xr3:uid="{3D7965D4-EE6D-417E-831D-80829C2E1C92}" uniqueName="10" name="temp" totalsRowFunction="average" queryTableFieldId="10" totalsRowDxfId="6"/>
    <tableColumn id="11" xr3:uid="{14B1DCD1-2AFF-4BC2-9559-54FB8070ABFB}" uniqueName="11" name="atemp" totalsRowFunction="average" queryTableFieldId="11" totalsRowDxfId="5"/>
    <tableColumn id="12" xr3:uid="{D7F0828F-3BA4-40A9-BFF7-9B8A4A6EEBD8}" uniqueName="12" name="hum" totalsRowFunction="average" queryTableFieldId="12" totalsRowDxfId="4"/>
    <tableColumn id="13" xr3:uid="{9E6C3EC0-20D0-4E2A-A58D-60750B19B7E3}" uniqueName="13" name="windspeed" totalsRowFunction="average" queryTableFieldId="13" totalsRowDxfId="3"/>
    <tableColumn id="14" xr3:uid="{F0031DE2-B19D-476F-96C7-A3B8F86E6D07}" uniqueName="14" name="casual" totalsRowFunction="sum" queryTableFieldId="14" totalsRowDxfId="2"/>
    <tableColumn id="15" xr3:uid="{83CB7843-1269-4D56-9B76-703FD357441F}" uniqueName="15" name="registered" totalsRowFunction="sum" queryTableFieldId="15" totalsRowDxfId="1"/>
    <tableColumn id="16" xr3:uid="{8D3A6726-5FCD-4FEE-94F1-1EBB60D2F85A}" uniqueName="16" name="cnt" totalsRowFunction="sum" queryTableFieldId="16" totalsRow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2B151-B828-4EE7-B267-A451182563E8}">
  <dimension ref="A1:Q1394"/>
  <sheetViews>
    <sheetView tabSelected="1" workbookViewId="0">
      <pane ySplit="1" topLeftCell="A2" activePane="bottomLeft" state="frozen"/>
      <selection pane="bottomLeft" activeCell="Q7" sqref="Q7"/>
    </sheetView>
  </sheetViews>
  <sheetFormatPr defaultRowHeight="15" x14ac:dyDescent="0.25"/>
  <cols>
    <col min="1" max="1" width="9.42578125" bestFit="1" customWidth="1"/>
    <col min="2" max="2" width="10.42578125" bestFit="1" customWidth="1"/>
    <col min="3" max="3" width="9.42578125" bestFit="1" customWidth="1"/>
    <col min="4" max="4" width="8" bestFit="1" customWidth="1"/>
    <col min="5" max="5" width="5.140625" bestFit="1" customWidth="1"/>
    <col min="6" max="6" width="9.85546875" bestFit="1" customWidth="1"/>
    <col min="7" max="7" width="11.28515625" bestFit="1" customWidth="1"/>
    <col min="8" max="8" width="12.85546875" bestFit="1" customWidth="1"/>
    <col min="9" max="9" width="8" bestFit="1" customWidth="1"/>
    <col min="10" max="10" width="9" bestFit="1" customWidth="1"/>
    <col min="11" max="11" width="7.28515625" bestFit="1" customWidth="1"/>
    <col min="12" max="12" width="13.140625" bestFit="1" customWidth="1"/>
    <col min="13" max="13" width="8.7109375" bestFit="1" customWidth="1"/>
    <col min="14" max="14" width="12.42578125" bestFit="1" customWidth="1"/>
    <col min="15" max="15" width="9.85546875"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row>
    <row r="2" spans="1:17" x14ac:dyDescent="0.25">
      <c r="A2">
        <v>1</v>
      </c>
      <c r="B2" s="2">
        <v>40544</v>
      </c>
      <c r="C2">
        <v>1</v>
      </c>
      <c r="D2">
        <v>1</v>
      </c>
      <c r="E2">
        <v>0</v>
      </c>
      <c r="F2" t="b">
        <v>0</v>
      </c>
      <c r="G2">
        <v>6</v>
      </c>
      <c r="H2">
        <v>1</v>
      </c>
      <c r="I2">
        <v>0.24</v>
      </c>
      <c r="J2">
        <v>0.28789999999999999</v>
      </c>
      <c r="K2">
        <v>0.81</v>
      </c>
      <c r="L2">
        <v>0.54895000000000005</v>
      </c>
      <c r="M2">
        <v>3</v>
      </c>
      <c r="N2">
        <v>13</v>
      </c>
      <c r="O2">
        <v>16</v>
      </c>
    </row>
    <row r="3" spans="1:17" x14ac:dyDescent="0.25">
      <c r="A3">
        <v>2</v>
      </c>
      <c r="B3" s="2">
        <v>40544</v>
      </c>
      <c r="C3">
        <v>1</v>
      </c>
      <c r="D3">
        <v>1</v>
      </c>
      <c r="E3">
        <v>1</v>
      </c>
      <c r="F3" t="b">
        <v>0</v>
      </c>
      <c r="G3">
        <v>6</v>
      </c>
      <c r="H3">
        <v>1</v>
      </c>
      <c r="I3">
        <v>0.22</v>
      </c>
      <c r="J3">
        <v>0.2727</v>
      </c>
      <c r="K3">
        <v>0.8</v>
      </c>
      <c r="L3">
        <v>0.53634999999999999</v>
      </c>
      <c r="M3">
        <v>8</v>
      </c>
      <c r="N3">
        <v>32</v>
      </c>
      <c r="O3">
        <v>40</v>
      </c>
    </row>
    <row r="4" spans="1:17" x14ac:dyDescent="0.25">
      <c r="A4">
        <v>3</v>
      </c>
      <c r="B4" s="2">
        <v>40544</v>
      </c>
      <c r="C4">
        <v>1</v>
      </c>
      <c r="D4">
        <v>1</v>
      </c>
      <c r="E4">
        <v>2</v>
      </c>
      <c r="F4" t="b">
        <v>0</v>
      </c>
      <c r="G4">
        <v>6</v>
      </c>
      <c r="H4">
        <v>1</v>
      </c>
      <c r="I4">
        <v>0.22</v>
      </c>
      <c r="J4">
        <v>0.2727</v>
      </c>
      <c r="K4">
        <v>0.8</v>
      </c>
      <c r="L4">
        <v>0.53634999999999999</v>
      </c>
      <c r="M4">
        <v>5</v>
      </c>
      <c r="N4">
        <v>27</v>
      </c>
      <c r="O4">
        <v>32</v>
      </c>
      <c r="P4" s="14" t="s">
        <v>81</v>
      </c>
      <c r="Q4">
        <f>VLOOKUP(27,A1:O1001,2,1)</f>
        <v>40545</v>
      </c>
    </row>
    <row r="5" spans="1:17" x14ac:dyDescent="0.25">
      <c r="A5">
        <v>4</v>
      </c>
      <c r="B5" s="2">
        <v>40544</v>
      </c>
      <c r="C5">
        <v>1</v>
      </c>
      <c r="D5">
        <v>1</v>
      </c>
      <c r="E5">
        <v>3</v>
      </c>
      <c r="F5" t="b">
        <v>0</v>
      </c>
      <c r="G5">
        <v>6</v>
      </c>
      <c r="H5">
        <v>1</v>
      </c>
      <c r="I5">
        <v>0.24</v>
      </c>
      <c r="J5">
        <v>0.28789999999999999</v>
      </c>
      <c r="K5">
        <v>0.75</v>
      </c>
      <c r="L5">
        <v>0.51895000000000002</v>
      </c>
      <c r="M5">
        <v>3</v>
      </c>
      <c r="N5">
        <v>10</v>
      </c>
      <c r="O5">
        <v>13</v>
      </c>
    </row>
    <row r="6" spans="1:17" x14ac:dyDescent="0.25">
      <c r="A6">
        <v>5</v>
      </c>
      <c r="B6" s="2">
        <v>40544</v>
      </c>
      <c r="C6">
        <v>1</v>
      </c>
      <c r="D6">
        <v>1</v>
      </c>
      <c r="E6">
        <v>4</v>
      </c>
      <c r="F6" t="b">
        <v>0</v>
      </c>
      <c r="G6">
        <v>6</v>
      </c>
      <c r="H6">
        <v>1</v>
      </c>
      <c r="I6">
        <v>0.24</v>
      </c>
      <c r="J6">
        <v>0.28789999999999999</v>
      </c>
      <c r="K6">
        <v>0.75</v>
      </c>
      <c r="L6">
        <v>0.51895000000000002</v>
      </c>
      <c r="M6">
        <v>0</v>
      </c>
      <c r="N6">
        <v>1</v>
      </c>
      <c r="O6">
        <v>1</v>
      </c>
    </row>
    <row r="7" spans="1:17" x14ac:dyDescent="0.25">
      <c r="A7">
        <v>6</v>
      </c>
      <c r="B7" s="2">
        <v>40544</v>
      </c>
      <c r="C7">
        <v>1</v>
      </c>
      <c r="D7">
        <v>1</v>
      </c>
      <c r="E7">
        <v>5</v>
      </c>
      <c r="F7" t="b">
        <v>0</v>
      </c>
      <c r="G7">
        <v>6</v>
      </c>
      <c r="H7">
        <v>2</v>
      </c>
      <c r="I7">
        <v>0.24</v>
      </c>
      <c r="J7">
        <v>0.2576</v>
      </c>
      <c r="K7">
        <v>0.75</v>
      </c>
      <c r="L7">
        <v>8.9599999999999999E-2</v>
      </c>
      <c r="M7">
        <v>0</v>
      </c>
      <c r="N7">
        <v>1</v>
      </c>
      <c r="O7">
        <v>1</v>
      </c>
    </row>
    <row r="8" spans="1:17" x14ac:dyDescent="0.25">
      <c r="A8">
        <v>7</v>
      </c>
      <c r="B8" s="2">
        <v>40544</v>
      </c>
      <c r="C8">
        <v>1</v>
      </c>
      <c r="D8">
        <v>1</v>
      </c>
      <c r="E8">
        <v>6</v>
      </c>
      <c r="F8" t="b">
        <v>0</v>
      </c>
      <c r="G8">
        <v>6</v>
      </c>
      <c r="H8">
        <v>1</v>
      </c>
      <c r="I8">
        <v>0.22</v>
      </c>
      <c r="J8">
        <v>0.2727</v>
      </c>
      <c r="K8">
        <v>0.8</v>
      </c>
      <c r="L8">
        <v>0.53634999999999999</v>
      </c>
      <c r="M8">
        <v>2</v>
      </c>
      <c r="N8">
        <v>0</v>
      </c>
      <c r="O8">
        <v>2</v>
      </c>
    </row>
    <row r="9" spans="1:17" x14ac:dyDescent="0.25">
      <c r="A9">
        <v>8</v>
      </c>
      <c r="B9" s="2">
        <v>40544</v>
      </c>
      <c r="C9">
        <v>1</v>
      </c>
      <c r="D9">
        <v>1</v>
      </c>
      <c r="E9">
        <v>7</v>
      </c>
      <c r="F9" t="b">
        <v>0</v>
      </c>
      <c r="G9">
        <v>6</v>
      </c>
      <c r="H9">
        <v>1</v>
      </c>
      <c r="I9">
        <v>0.2</v>
      </c>
      <c r="J9">
        <v>0.2576</v>
      </c>
      <c r="K9">
        <v>0.86</v>
      </c>
      <c r="L9">
        <v>0.55879999999999996</v>
      </c>
      <c r="M9">
        <v>1</v>
      </c>
      <c r="N9">
        <v>2</v>
      </c>
      <c r="O9">
        <v>3</v>
      </c>
    </row>
    <row r="10" spans="1:17" x14ac:dyDescent="0.25">
      <c r="A10">
        <v>9</v>
      </c>
      <c r="B10" s="2">
        <v>40544</v>
      </c>
      <c r="C10">
        <v>1</v>
      </c>
      <c r="D10">
        <v>1</v>
      </c>
      <c r="E10">
        <v>8</v>
      </c>
      <c r="F10" t="b">
        <v>0</v>
      </c>
      <c r="G10">
        <v>6</v>
      </c>
      <c r="H10">
        <v>1</v>
      </c>
      <c r="I10">
        <v>0.24</v>
      </c>
      <c r="K10">
        <v>0.75</v>
      </c>
      <c r="L10">
        <v>0.75</v>
      </c>
      <c r="M10">
        <v>1</v>
      </c>
      <c r="N10">
        <v>7</v>
      </c>
      <c r="O10">
        <v>8</v>
      </c>
    </row>
    <row r="11" spans="1:17" x14ac:dyDescent="0.25">
      <c r="A11">
        <v>10</v>
      </c>
      <c r="B11" s="2">
        <v>40544</v>
      </c>
      <c r="C11">
        <v>1</v>
      </c>
      <c r="D11">
        <v>1</v>
      </c>
      <c r="E11">
        <v>9</v>
      </c>
      <c r="F11" t="b">
        <v>0</v>
      </c>
      <c r="G11">
        <v>6</v>
      </c>
      <c r="H11">
        <v>1</v>
      </c>
      <c r="I11">
        <v>0.32</v>
      </c>
      <c r="J11">
        <v>0.34849999999999998</v>
      </c>
      <c r="K11">
        <v>0.76</v>
      </c>
      <c r="L11">
        <v>0.55425000000000002</v>
      </c>
      <c r="M11">
        <v>8</v>
      </c>
      <c r="N11">
        <v>6</v>
      </c>
      <c r="O11">
        <v>14</v>
      </c>
    </row>
    <row r="12" spans="1:17" x14ac:dyDescent="0.25">
      <c r="A12">
        <v>11</v>
      </c>
      <c r="B12" s="2">
        <v>40544</v>
      </c>
      <c r="C12">
        <v>1</v>
      </c>
      <c r="D12">
        <v>1</v>
      </c>
      <c r="E12">
        <v>10</v>
      </c>
      <c r="F12" t="b">
        <v>0</v>
      </c>
      <c r="G12">
        <v>6</v>
      </c>
      <c r="H12">
        <v>1</v>
      </c>
      <c r="I12">
        <v>0.38</v>
      </c>
      <c r="J12">
        <v>0.39389999999999997</v>
      </c>
      <c r="K12">
        <v>0.76</v>
      </c>
      <c r="L12">
        <v>0.25369999999999998</v>
      </c>
      <c r="M12">
        <v>12</v>
      </c>
      <c r="N12">
        <v>24</v>
      </c>
      <c r="O12">
        <v>36</v>
      </c>
    </row>
    <row r="13" spans="1:17" x14ac:dyDescent="0.25">
      <c r="A13">
        <v>12</v>
      </c>
      <c r="B13" s="2">
        <v>40544</v>
      </c>
      <c r="C13">
        <v>1</v>
      </c>
      <c r="D13">
        <v>1</v>
      </c>
      <c r="E13">
        <v>11</v>
      </c>
      <c r="F13" t="b">
        <v>0</v>
      </c>
      <c r="G13">
        <v>6</v>
      </c>
      <c r="H13">
        <v>1</v>
      </c>
      <c r="I13">
        <v>0.36</v>
      </c>
      <c r="J13">
        <v>0.33329999999999999</v>
      </c>
      <c r="K13">
        <v>0.81</v>
      </c>
      <c r="L13">
        <v>0.28360000000000002</v>
      </c>
      <c r="M13">
        <v>26</v>
      </c>
      <c r="N13">
        <v>30</v>
      </c>
      <c r="O13">
        <v>56</v>
      </c>
    </row>
    <row r="14" spans="1:17" x14ac:dyDescent="0.25">
      <c r="A14">
        <v>13</v>
      </c>
      <c r="B14" s="2">
        <v>40544</v>
      </c>
      <c r="C14">
        <v>1</v>
      </c>
      <c r="D14">
        <v>1</v>
      </c>
      <c r="E14">
        <v>12</v>
      </c>
      <c r="F14" t="b">
        <v>0</v>
      </c>
      <c r="G14">
        <v>6</v>
      </c>
      <c r="H14">
        <v>1</v>
      </c>
      <c r="I14">
        <v>0.42</v>
      </c>
      <c r="J14">
        <v>0.42420000000000002</v>
      </c>
      <c r="K14">
        <v>0.77</v>
      </c>
      <c r="L14">
        <v>0.28360000000000002</v>
      </c>
      <c r="M14">
        <v>29</v>
      </c>
      <c r="N14">
        <v>55</v>
      </c>
      <c r="O14">
        <v>84</v>
      </c>
    </row>
    <row r="15" spans="1:17" x14ac:dyDescent="0.25">
      <c r="A15">
        <v>14</v>
      </c>
      <c r="B15" s="2">
        <v>40544</v>
      </c>
      <c r="C15">
        <v>1</v>
      </c>
      <c r="D15">
        <v>1</v>
      </c>
      <c r="E15">
        <v>13</v>
      </c>
      <c r="F15" t="b">
        <v>0</v>
      </c>
      <c r="G15">
        <v>6</v>
      </c>
      <c r="H15">
        <v>2</v>
      </c>
      <c r="I15">
        <v>0.46</v>
      </c>
      <c r="J15">
        <v>0.45450000000000002</v>
      </c>
      <c r="K15">
        <v>0.72</v>
      </c>
      <c r="L15">
        <v>0.29849999999999999</v>
      </c>
      <c r="M15">
        <v>47</v>
      </c>
      <c r="N15">
        <v>47</v>
      </c>
      <c r="O15">
        <v>94</v>
      </c>
    </row>
    <row r="16" spans="1:17" x14ac:dyDescent="0.25">
      <c r="A16">
        <v>15</v>
      </c>
      <c r="B16" s="2">
        <v>40544</v>
      </c>
      <c r="C16">
        <v>1</v>
      </c>
      <c r="D16">
        <v>1</v>
      </c>
      <c r="E16">
        <v>14</v>
      </c>
      <c r="F16" t="b">
        <v>0</v>
      </c>
      <c r="G16">
        <v>6</v>
      </c>
      <c r="H16">
        <v>2</v>
      </c>
      <c r="I16">
        <v>0.46</v>
      </c>
      <c r="J16">
        <v>0.45450000000000002</v>
      </c>
      <c r="K16">
        <v>0.72</v>
      </c>
      <c r="L16">
        <v>0.28360000000000002</v>
      </c>
      <c r="M16">
        <v>35</v>
      </c>
      <c r="N16">
        <v>71</v>
      </c>
      <c r="O16">
        <v>106</v>
      </c>
    </row>
    <row r="17" spans="1:15" x14ac:dyDescent="0.25">
      <c r="A17">
        <v>16</v>
      </c>
      <c r="B17" s="2">
        <v>40544</v>
      </c>
      <c r="C17">
        <v>1</v>
      </c>
      <c r="D17">
        <v>1</v>
      </c>
      <c r="E17">
        <v>15</v>
      </c>
      <c r="F17" t="b">
        <v>0</v>
      </c>
      <c r="G17">
        <v>6</v>
      </c>
      <c r="H17">
        <v>2</v>
      </c>
      <c r="I17">
        <v>0.44</v>
      </c>
      <c r="J17">
        <v>0.43940000000000001</v>
      </c>
      <c r="K17">
        <v>0.77</v>
      </c>
      <c r="L17">
        <v>0.29849999999999999</v>
      </c>
      <c r="M17">
        <v>40</v>
      </c>
      <c r="N17">
        <v>70</v>
      </c>
      <c r="O17">
        <v>110</v>
      </c>
    </row>
    <row r="18" spans="1:15" x14ac:dyDescent="0.25">
      <c r="A18">
        <v>17</v>
      </c>
      <c r="B18" s="2">
        <v>40544</v>
      </c>
      <c r="C18">
        <v>1</v>
      </c>
      <c r="D18">
        <v>1</v>
      </c>
      <c r="E18">
        <v>16</v>
      </c>
      <c r="F18" t="b">
        <v>0</v>
      </c>
      <c r="G18">
        <v>6</v>
      </c>
      <c r="H18">
        <v>2</v>
      </c>
      <c r="I18">
        <v>0.42</v>
      </c>
      <c r="J18">
        <v>0.42420000000000002</v>
      </c>
      <c r="K18">
        <v>0.82</v>
      </c>
      <c r="L18">
        <v>0.29849999999999999</v>
      </c>
      <c r="M18">
        <v>41</v>
      </c>
      <c r="N18">
        <v>52</v>
      </c>
      <c r="O18">
        <v>93</v>
      </c>
    </row>
    <row r="19" spans="1:15" x14ac:dyDescent="0.25">
      <c r="A19">
        <v>18</v>
      </c>
      <c r="B19" s="2">
        <v>40544</v>
      </c>
      <c r="C19">
        <v>1</v>
      </c>
      <c r="D19">
        <v>1</v>
      </c>
      <c r="E19">
        <v>17</v>
      </c>
      <c r="F19" t="b">
        <v>0</v>
      </c>
      <c r="G19">
        <v>6</v>
      </c>
      <c r="H19">
        <v>2</v>
      </c>
      <c r="I19">
        <v>0.44</v>
      </c>
      <c r="K19">
        <v>0.82</v>
      </c>
      <c r="L19">
        <v>0.28360000000000002</v>
      </c>
      <c r="M19">
        <v>15</v>
      </c>
      <c r="N19">
        <v>52</v>
      </c>
      <c r="O19">
        <v>67</v>
      </c>
    </row>
    <row r="20" spans="1:15" x14ac:dyDescent="0.25">
      <c r="A20">
        <v>19</v>
      </c>
      <c r="B20" s="2">
        <v>40544</v>
      </c>
      <c r="C20">
        <v>1</v>
      </c>
      <c r="D20">
        <v>1</v>
      </c>
      <c r="E20">
        <v>18</v>
      </c>
      <c r="F20" t="b">
        <v>0</v>
      </c>
      <c r="G20">
        <v>6</v>
      </c>
      <c r="H20">
        <v>3</v>
      </c>
      <c r="I20">
        <v>0.42</v>
      </c>
      <c r="J20">
        <v>0.42420000000000002</v>
      </c>
      <c r="K20">
        <v>0.88</v>
      </c>
      <c r="L20">
        <v>0.25369999999999998</v>
      </c>
      <c r="M20">
        <v>9</v>
      </c>
      <c r="N20">
        <v>26</v>
      </c>
      <c r="O20">
        <v>35</v>
      </c>
    </row>
    <row r="21" spans="1:15" x14ac:dyDescent="0.25">
      <c r="A21">
        <v>20</v>
      </c>
      <c r="B21" s="2">
        <v>40544</v>
      </c>
      <c r="C21">
        <v>1</v>
      </c>
      <c r="D21">
        <v>1</v>
      </c>
      <c r="E21">
        <v>19</v>
      </c>
      <c r="F21" t="b">
        <v>0</v>
      </c>
      <c r="G21">
        <v>6</v>
      </c>
      <c r="H21">
        <v>3</v>
      </c>
      <c r="I21">
        <v>0.42</v>
      </c>
      <c r="J21">
        <v>0.42420000000000002</v>
      </c>
      <c r="K21">
        <v>0.88</v>
      </c>
      <c r="L21">
        <v>0.25369999999999998</v>
      </c>
      <c r="M21">
        <v>6</v>
      </c>
      <c r="N21">
        <v>31</v>
      </c>
      <c r="O21">
        <v>37</v>
      </c>
    </row>
    <row r="22" spans="1:15" x14ac:dyDescent="0.25">
      <c r="A22">
        <v>21</v>
      </c>
      <c r="B22" s="2">
        <v>40544</v>
      </c>
      <c r="C22">
        <v>1</v>
      </c>
      <c r="D22">
        <v>1</v>
      </c>
      <c r="E22">
        <v>20</v>
      </c>
      <c r="F22" t="b">
        <v>0</v>
      </c>
      <c r="G22">
        <v>6</v>
      </c>
      <c r="H22">
        <v>2</v>
      </c>
      <c r="I22">
        <v>0.4</v>
      </c>
      <c r="J22">
        <v>0.40910000000000002</v>
      </c>
      <c r="K22">
        <v>0.87</v>
      </c>
      <c r="L22">
        <v>0.25369999999999998</v>
      </c>
      <c r="M22">
        <v>11</v>
      </c>
      <c r="N22">
        <v>25</v>
      </c>
      <c r="O22">
        <v>36</v>
      </c>
    </row>
    <row r="23" spans="1:15" x14ac:dyDescent="0.25">
      <c r="A23">
        <v>22</v>
      </c>
      <c r="B23" s="2">
        <v>40544</v>
      </c>
      <c r="C23">
        <v>1</v>
      </c>
      <c r="D23">
        <v>1</v>
      </c>
      <c r="E23">
        <v>21</v>
      </c>
      <c r="F23" t="b">
        <v>0</v>
      </c>
      <c r="G23">
        <v>6</v>
      </c>
      <c r="H23">
        <v>2</v>
      </c>
      <c r="I23">
        <v>0.4</v>
      </c>
      <c r="J23">
        <v>0.40910000000000002</v>
      </c>
      <c r="K23">
        <v>0.87</v>
      </c>
      <c r="L23">
        <v>0.19400000000000001</v>
      </c>
      <c r="M23">
        <v>3</v>
      </c>
      <c r="N23">
        <v>31</v>
      </c>
      <c r="O23">
        <v>34</v>
      </c>
    </row>
    <row r="24" spans="1:15" x14ac:dyDescent="0.25">
      <c r="A24">
        <v>23</v>
      </c>
      <c r="B24" s="2">
        <v>40544</v>
      </c>
      <c r="C24">
        <v>1</v>
      </c>
      <c r="D24">
        <v>1</v>
      </c>
      <c r="E24">
        <v>22</v>
      </c>
      <c r="F24" t="b">
        <v>0</v>
      </c>
      <c r="G24">
        <v>6</v>
      </c>
      <c r="H24">
        <v>2</v>
      </c>
      <c r="I24">
        <v>0.4</v>
      </c>
      <c r="J24">
        <v>0.40910000000000002</v>
      </c>
      <c r="K24">
        <v>0.94</v>
      </c>
      <c r="L24">
        <v>0.22389999999999999</v>
      </c>
      <c r="M24">
        <v>11</v>
      </c>
      <c r="N24">
        <v>17</v>
      </c>
      <c r="O24">
        <v>28</v>
      </c>
    </row>
    <row r="25" spans="1:15" x14ac:dyDescent="0.25">
      <c r="A25">
        <v>24</v>
      </c>
      <c r="B25" s="2">
        <v>40544</v>
      </c>
      <c r="C25">
        <v>1</v>
      </c>
      <c r="D25">
        <v>1</v>
      </c>
      <c r="E25">
        <v>23</v>
      </c>
      <c r="F25" t="b">
        <v>0</v>
      </c>
      <c r="G25">
        <v>6</v>
      </c>
      <c r="H25">
        <v>2</v>
      </c>
      <c r="I25">
        <v>0.46</v>
      </c>
      <c r="K25">
        <v>0.88</v>
      </c>
      <c r="L25">
        <v>0.29849999999999999</v>
      </c>
      <c r="M25">
        <v>15</v>
      </c>
      <c r="N25">
        <v>24</v>
      </c>
      <c r="O25">
        <v>39</v>
      </c>
    </row>
    <row r="26" spans="1:15" x14ac:dyDescent="0.25">
      <c r="A26">
        <v>25</v>
      </c>
      <c r="B26" s="2">
        <v>40545</v>
      </c>
      <c r="C26">
        <v>1</v>
      </c>
      <c r="D26">
        <v>1</v>
      </c>
      <c r="E26">
        <v>0</v>
      </c>
      <c r="F26" t="b">
        <v>0</v>
      </c>
      <c r="G26">
        <v>0</v>
      </c>
      <c r="H26">
        <v>2</v>
      </c>
      <c r="I26">
        <v>0.46</v>
      </c>
      <c r="J26">
        <v>0.45450000000000002</v>
      </c>
      <c r="K26">
        <v>0.88</v>
      </c>
      <c r="L26">
        <v>0.29849999999999999</v>
      </c>
      <c r="M26">
        <v>4</v>
      </c>
      <c r="N26">
        <v>13</v>
      </c>
      <c r="O26">
        <v>17</v>
      </c>
    </row>
    <row r="27" spans="1:15" x14ac:dyDescent="0.25">
      <c r="A27">
        <v>26</v>
      </c>
      <c r="B27" s="2">
        <v>40545</v>
      </c>
      <c r="C27">
        <v>1</v>
      </c>
      <c r="D27">
        <v>1</v>
      </c>
      <c r="E27">
        <v>1</v>
      </c>
      <c r="F27" t="b">
        <v>0</v>
      </c>
      <c r="G27">
        <v>0</v>
      </c>
      <c r="H27">
        <v>2</v>
      </c>
      <c r="I27">
        <v>0.44</v>
      </c>
      <c r="J27">
        <v>0.43940000000000001</v>
      </c>
      <c r="K27">
        <v>0.94</v>
      </c>
      <c r="L27">
        <v>0.25369999999999998</v>
      </c>
      <c r="M27">
        <v>1</v>
      </c>
      <c r="N27">
        <v>16</v>
      </c>
      <c r="O27">
        <v>17</v>
      </c>
    </row>
    <row r="28" spans="1:15" x14ac:dyDescent="0.25">
      <c r="A28">
        <v>27</v>
      </c>
      <c r="B28" s="2">
        <v>40545</v>
      </c>
      <c r="C28">
        <v>1</v>
      </c>
      <c r="D28">
        <v>1</v>
      </c>
      <c r="E28">
        <v>2</v>
      </c>
      <c r="F28" t="b">
        <v>0</v>
      </c>
      <c r="G28">
        <v>0</v>
      </c>
      <c r="H28">
        <v>2</v>
      </c>
      <c r="I28">
        <v>0.42</v>
      </c>
      <c r="J28">
        <v>0.42420000000000002</v>
      </c>
      <c r="K28">
        <v>1</v>
      </c>
      <c r="L28">
        <v>0.28360000000000002</v>
      </c>
      <c r="M28">
        <v>1</v>
      </c>
      <c r="N28">
        <v>8</v>
      </c>
      <c r="O28">
        <v>9</v>
      </c>
    </row>
    <row r="29" spans="1:15" x14ac:dyDescent="0.25">
      <c r="A29">
        <v>28</v>
      </c>
      <c r="B29" s="2">
        <v>40545</v>
      </c>
      <c r="C29">
        <v>1</v>
      </c>
      <c r="D29">
        <v>1</v>
      </c>
      <c r="E29">
        <v>3</v>
      </c>
      <c r="F29" t="b">
        <v>0</v>
      </c>
      <c r="G29">
        <v>0</v>
      </c>
      <c r="H29">
        <v>2</v>
      </c>
      <c r="I29">
        <v>0.46</v>
      </c>
      <c r="J29">
        <v>0.45450000000000002</v>
      </c>
      <c r="K29">
        <v>0.94</v>
      </c>
      <c r="L29">
        <v>0.19400000000000001</v>
      </c>
      <c r="M29">
        <v>2</v>
      </c>
      <c r="N29">
        <v>4</v>
      </c>
      <c r="O29">
        <v>6</v>
      </c>
    </row>
    <row r="30" spans="1:15" x14ac:dyDescent="0.25">
      <c r="A30">
        <v>29</v>
      </c>
      <c r="B30" s="2">
        <v>40545</v>
      </c>
      <c r="C30">
        <v>1</v>
      </c>
      <c r="D30">
        <v>1</v>
      </c>
      <c r="E30">
        <v>4</v>
      </c>
      <c r="F30" t="b">
        <v>0</v>
      </c>
      <c r="G30">
        <v>0</v>
      </c>
      <c r="H30">
        <v>2</v>
      </c>
      <c r="I30">
        <v>0.46</v>
      </c>
      <c r="K30">
        <v>0.94</v>
      </c>
      <c r="L30">
        <v>0.19400000000000001</v>
      </c>
      <c r="M30">
        <v>2</v>
      </c>
      <c r="N30">
        <v>1</v>
      </c>
      <c r="O30">
        <v>3</v>
      </c>
    </row>
    <row r="31" spans="1:15" x14ac:dyDescent="0.25">
      <c r="A31">
        <v>30</v>
      </c>
      <c r="B31" s="2">
        <v>40545</v>
      </c>
      <c r="C31">
        <v>1</v>
      </c>
      <c r="D31">
        <v>1</v>
      </c>
      <c r="E31">
        <v>6</v>
      </c>
      <c r="F31" t="b">
        <v>0</v>
      </c>
      <c r="G31">
        <v>0</v>
      </c>
      <c r="H31">
        <v>3</v>
      </c>
      <c r="I31">
        <v>0.42</v>
      </c>
      <c r="J31">
        <v>0.42420000000000002</v>
      </c>
      <c r="K31">
        <v>0.77</v>
      </c>
      <c r="L31">
        <v>0.29849999999999999</v>
      </c>
      <c r="M31">
        <v>0</v>
      </c>
      <c r="N31">
        <v>2</v>
      </c>
      <c r="O31">
        <v>2</v>
      </c>
    </row>
    <row r="32" spans="1:15" x14ac:dyDescent="0.25">
      <c r="A32">
        <v>31</v>
      </c>
      <c r="B32" s="2">
        <v>40545</v>
      </c>
      <c r="C32">
        <v>1</v>
      </c>
      <c r="D32">
        <v>1</v>
      </c>
      <c r="E32">
        <v>7</v>
      </c>
      <c r="F32" t="b">
        <v>0</v>
      </c>
      <c r="G32">
        <v>0</v>
      </c>
      <c r="H32">
        <v>2</v>
      </c>
      <c r="I32">
        <v>0.4</v>
      </c>
      <c r="J32">
        <v>0.40910000000000002</v>
      </c>
      <c r="K32">
        <v>0.76</v>
      </c>
      <c r="L32">
        <v>0.19400000000000001</v>
      </c>
      <c r="M32">
        <v>0</v>
      </c>
      <c r="N32">
        <v>1</v>
      </c>
      <c r="O32">
        <v>1</v>
      </c>
    </row>
    <row r="33" spans="1:15" x14ac:dyDescent="0.25">
      <c r="A33">
        <v>32</v>
      </c>
      <c r="B33" s="2">
        <v>40545</v>
      </c>
      <c r="C33">
        <v>1</v>
      </c>
      <c r="D33">
        <v>1</v>
      </c>
      <c r="E33">
        <v>8</v>
      </c>
      <c r="F33" t="b">
        <v>0</v>
      </c>
      <c r="G33">
        <v>0</v>
      </c>
      <c r="H33">
        <v>3</v>
      </c>
      <c r="I33">
        <v>0.4</v>
      </c>
      <c r="J33">
        <v>0.40910000000000002</v>
      </c>
      <c r="K33">
        <v>0.71</v>
      </c>
      <c r="L33">
        <v>0.22389999999999999</v>
      </c>
      <c r="M33">
        <v>0</v>
      </c>
      <c r="N33">
        <v>8</v>
      </c>
      <c r="O33">
        <v>8</v>
      </c>
    </row>
    <row r="34" spans="1:15" x14ac:dyDescent="0.25">
      <c r="A34">
        <v>33</v>
      </c>
      <c r="B34" s="2">
        <v>40545</v>
      </c>
      <c r="C34">
        <v>1</v>
      </c>
      <c r="D34">
        <v>1</v>
      </c>
      <c r="E34">
        <v>9</v>
      </c>
      <c r="F34" t="b">
        <v>0</v>
      </c>
      <c r="G34">
        <v>0</v>
      </c>
      <c r="H34">
        <v>2</v>
      </c>
      <c r="I34">
        <v>0.38</v>
      </c>
      <c r="K34">
        <v>0.76</v>
      </c>
      <c r="L34">
        <v>0.22389999999999999</v>
      </c>
      <c r="M34">
        <v>1</v>
      </c>
      <c r="N34">
        <v>19</v>
      </c>
      <c r="O34">
        <v>20</v>
      </c>
    </row>
    <row r="35" spans="1:15" x14ac:dyDescent="0.25">
      <c r="A35">
        <v>34</v>
      </c>
      <c r="B35" s="2">
        <v>40545</v>
      </c>
      <c r="C35">
        <v>1</v>
      </c>
      <c r="D35">
        <v>1</v>
      </c>
      <c r="E35">
        <v>10</v>
      </c>
      <c r="F35" t="b">
        <v>0</v>
      </c>
      <c r="G35">
        <v>0</v>
      </c>
      <c r="H35">
        <v>2</v>
      </c>
      <c r="I35">
        <v>0.36</v>
      </c>
      <c r="J35">
        <v>0.34849999999999998</v>
      </c>
      <c r="K35">
        <v>0.81</v>
      </c>
      <c r="L35">
        <v>0.22389999999999999</v>
      </c>
      <c r="M35">
        <v>7</v>
      </c>
      <c r="N35">
        <v>46</v>
      </c>
      <c r="O35">
        <v>53</v>
      </c>
    </row>
    <row r="36" spans="1:15" x14ac:dyDescent="0.25">
      <c r="A36">
        <v>35</v>
      </c>
      <c r="B36" s="2">
        <v>40545</v>
      </c>
      <c r="C36">
        <v>1</v>
      </c>
      <c r="D36">
        <v>1</v>
      </c>
      <c r="E36">
        <v>11</v>
      </c>
      <c r="F36" t="b">
        <v>0</v>
      </c>
      <c r="G36">
        <v>0</v>
      </c>
      <c r="H36">
        <v>2</v>
      </c>
      <c r="I36">
        <v>0.36</v>
      </c>
      <c r="J36">
        <v>0.33329999999999999</v>
      </c>
      <c r="K36">
        <v>0.71</v>
      </c>
      <c r="L36">
        <v>0.25369999999999998</v>
      </c>
      <c r="M36">
        <v>16</v>
      </c>
      <c r="N36">
        <v>54</v>
      </c>
      <c r="O36">
        <v>70</v>
      </c>
    </row>
    <row r="37" spans="1:15" x14ac:dyDescent="0.25">
      <c r="A37">
        <v>36</v>
      </c>
      <c r="B37" s="2">
        <v>40545</v>
      </c>
      <c r="C37">
        <v>1</v>
      </c>
      <c r="D37">
        <v>1</v>
      </c>
      <c r="E37">
        <v>12</v>
      </c>
      <c r="F37" t="b">
        <v>0</v>
      </c>
      <c r="G37">
        <v>0</v>
      </c>
      <c r="H37">
        <v>2</v>
      </c>
      <c r="I37">
        <v>0.36</v>
      </c>
      <c r="J37">
        <v>0.33329999999999999</v>
      </c>
      <c r="K37">
        <v>0.66</v>
      </c>
      <c r="L37">
        <v>0.29849999999999999</v>
      </c>
      <c r="M37">
        <v>20</v>
      </c>
      <c r="N37">
        <v>73</v>
      </c>
      <c r="O37">
        <v>93</v>
      </c>
    </row>
    <row r="38" spans="1:15" x14ac:dyDescent="0.25">
      <c r="A38">
        <v>37</v>
      </c>
      <c r="B38" s="2">
        <v>40545</v>
      </c>
      <c r="C38">
        <v>1</v>
      </c>
      <c r="D38">
        <v>1</v>
      </c>
      <c r="E38">
        <v>13</v>
      </c>
      <c r="F38" t="b">
        <v>0</v>
      </c>
      <c r="G38">
        <v>0</v>
      </c>
      <c r="H38">
        <v>2</v>
      </c>
      <c r="I38">
        <v>0.36</v>
      </c>
      <c r="J38">
        <v>0.34849999999999998</v>
      </c>
      <c r="K38">
        <v>0.66</v>
      </c>
      <c r="L38">
        <v>0.1343</v>
      </c>
      <c r="M38">
        <v>11</v>
      </c>
      <c r="N38">
        <v>64</v>
      </c>
      <c r="O38">
        <v>75</v>
      </c>
    </row>
    <row r="39" spans="1:15" x14ac:dyDescent="0.25">
      <c r="A39">
        <v>38</v>
      </c>
      <c r="B39" s="2">
        <v>40545</v>
      </c>
      <c r="C39">
        <v>1</v>
      </c>
      <c r="D39">
        <v>1</v>
      </c>
      <c r="E39">
        <v>14</v>
      </c>
      <c r="F39" t="b">
        <v>0</v>
      </c>
      <c r="G39">
        <v>0</v>
      </c>
      <c r="H39">
        <v>3</v>
      </c>
      <c r="I39">
        <v>0.36</v>
      </c>
      <c r="K39">
        <v>0.76</v>
      </c>
      <c r="L39">
        <v>0.19400000000000001</v>
      </c>
      <c r="M39">
        <v>4</v>
      </c>
      <c r="N39">
        <v>55</v>
      </c>
      <c r="O39">
        <v>59</v>
      </c>
    </row>
    <row r="40" spans="1:15" x14ac:dyDescent="0.25">
      <c r="A40">
        <v>39</v>
      </c>
      <c r="B40" s="2">
        <v>40545</v>
      </c>
      <c r="C40">
        <v>1</v>
      </c>
      <c r="D40">
        <v>1</v>
      </c>
      <c r="E40">
        <v>15</v>
      </c>
      <c r="F40" t="b">
        <v>0</v>
      </c>
      <c r="G40">
        <v>0</v>
      </c>
      <c r="H40">
        <v>3</v>
      </c>
      <c r="I40">
        <v>0.34</v>
      </c>
      <c r="J40">
        <v>0.33329999999999999</v>
      </c>
      <c r="K40">
        <v>0.81</v>
      </c>
      <c r="L40">
        <v>0.16420000000000001</v>
      </c>
      <c r="M40">
        <v>19</v>
      </c>
      <c r="N40">
        <v>55</v>
      </c>
      <c r="O40">
        <v>74</v>
      </c>
    </row>
    <row r="41" spans="1:15" x14ac:dyDescent="0.25">
      <c r="A41">
        <v>40</v>
      </c>
      <c r="B41" s="2">
        <v>40545</v>
      </c>
      <c r="C41">
        <v>1</v>
      </c>
      <c r="D41">
        <v>1</v>
      </c>
      <c r="E41">
        <v>16</v>
      </c>
      <c r="F41" t="b">
        <v>0</v>
      </c>
      <c r="G41">
        <v>0</v>
      </c>
      <c r="H41">
        <v>3</v>
      </c>
      <c r="I41">
        <v>0.34</v>
      </c>
      <c r="J41">
        <v>0.33329999999999999</v>
      </c>
      <c r="K41">
        <v>0.71</v>
      </c>
      <c r="L41">
        <v>0.16420000000000001</v>
      </c>
      <c r="M41">
        <v>9</v>
      </c>
      <c r="N41">
        <v>67</v>
      </c>
      <c r="O41">
        <v>76</v>
      </c>
    </row>
    <row r="42" spans="1:15" x14ac:dyDescent="0.25">
      <c r="A42">
        <v>41</v>
      </c>
      <c r="B42" s="2">
        <v>40545</v>
      </c>
      <c r="C42">
        <v>1</v>
      </c>
      <c r="D42">
        <v>1</v>
      </c>
      <c r="E42">
        <v>17</v>
      </c>
      <c r="F42" t="b">
        <v>0</v>
      </c>
      <c r="G42">
        <v>0</v>
      </c>
      <c r="H42">
        <v>1</v>
      </c>
      <c r="I42">
        <v>0.34</v>
      </c>
      <c r="J42">
        <v>0.33329999999999999</v>
      </c>
      <c r="K42">
        <v>0.56999999999999995</v>
      </c>
      <c r="L42">
        <v>0.19400000000000001</v>
      </c>
      <c r="M42">
        <v>7</v>
      </c>
      <c r="N42">
        <v>58</v>
      </c>
      <c r="O42">
        <v>65</v>
      </c>
    </row>
    <row r="43" spans="1:15" x14ac:dyDescent="0.25">
      <c r="A43">
        <v>42</v>
      </c>
      <c r="B43" s="2">
        <v>40545</v>
      </c>
      <c r="C43">
        <v>1</v>
      </c>
      <c r="D43">
        <v>1</v>
      </c>
      <c r="E43">
        <v>18</v>
      </c>
      <c r="F43" t="b">
        <v>0</v>
      </c>
      <c r="G43">
        <v>0</v>
      </c>
      <c r="H43">
        <v>2</v>
      </c>
      <c r="I43">
        <v>0.36</v>
      </c>
      <c r="J43">
        <v>0.33329999999999999</v>
      </c>
      <c r="K43">
        <v>0.46</v>
      </c>
      <c r="L43">
        <v>0.32840000000000003</v>
      </c>
      <c r="M43">
        <v>10</v>
      </c>
      <c r="N43">
        <v>43</v>
      </c>
      <c r="O43">
        <v>53</v>
      </c>
    </row>
    <row r="44" spans="1:15" x14ac:dyDescent="0.25">
      <c r="A44">
        <v>43</v>
      </c>
      <c r="B44" s="2">
        <v>40545</v>
      </c>
      <c r="C44">
        <v>1</v>
      </c>
      <c r="D44">
        <v>1</v>
      </c>
      <c r="E44">
        <v>19</v>
      </c>
      <c r="F44" t="b">
        <v>0</v>
      </c>
      <c r="G44">
        <v>0</v>
      </c>
      <c r="H44">
        <v>1</v>
      </c>
      <c r="I44">
        <v>0.32</v>
      </c>
      <c r="J44">
        <v>0.28789999999999999</v>
      </c>
      <c r="K44">
        <v>0.42</v>
      </c>
      <c r="L44">
        <v>0.44779999999999998</v>
      </c>
      <c r="M44">
        <v>1</v>
      </c>
      <c r="N44">
        <v>29</v>
      </c>
      <c r="O44">
        <v>30</v>
      </c>
    </row>
    <row r="45" spans="1:15" x14ac:dyDescent="0.25">
      <c r="A45">
        <v>44</v>
      </c>
      <c r="B45" s="2">
        <v>40545</v>
      </c>
      <c r="C45">
        <v>1</v>
      </c>
      <c r="D45">
        <v>1</v>
      </c>
      <c r="E45">
        <v>20</v>
      </c>
      <c r="F45" t="b">
        <v>0</v>
      </c>
      <c r="G45">
        <v>0</v>
      </c>
      <c r="H45">
        <v>1</v>
      </c>
      <c r="I45">
        <v>0.3</v>
      </c>
      <c r="K45">
        <v>0.39</v>
      </c>
      <c r="L45">
        <v>0.35820000000000002</v>
      </c>
      <c r="M45">
        <v>5</v>
      </c>
      <c r="N45">
        <v>17</v>
      </c>
      <c r="O45">
        <v>22</v>
      </c>
    </row>
    <row r="46" spans="1:15" x14ac:dyDescent="0.25">
      <c r="A46">
        <v>45</v>
      </c>
      <c r="B46" s="2">
        <v>40545</v>
      </c>
      <c r="C46">
        <v>1</v>
      </c>
      <c r="D46">
        <v>1</v>
      </c>
      <c r="E46">
        <v>21</v>
      </c>
      <c r="F46" t="b">
        <v>0</v>
      </c>
      <c r="G46">
        <v>0</v>
      </c>
      <c r="H46">
        <v>1</v>
      </c>
      <c r="I46">
        <v>0.26</v>
      </c>
      <c r="J46">
        <v>0.2273</v>
      </c>
      <c r="K46">
        <v>0.44</v>
      </c>
      <c r="L46">
        <v>0.32840000000000003</v>
      </c>
      <c r="M46">
        <v>11</v>
      </c>
      <c r="N46">
        <v>20</v>
      </c>
      <c r="O46">
        <v>31</v>
      </c>
    </row>
    <row r="47" spans="1:15" x14ac:dyDescent="0.25">
      <c r="A47">
        <v>46</v>
      </c>
      <c r="B47" s="2">
        <v>40545</v>
      </c>
      <c r="C47">
        <v>1</v>
      </c>
      <c r="D47">
        <v>1</v>
      </c>
      <c r="E47">
        <v>22</v>
      </c>
      <c r="F47" t="b">
        <v>0</v>
      </c>
      <c r="G47">
        <v>0</v>
      </c>
      <c r="H47">
        <v>1</v>
      </c>
      <c r="I47">
        <v>0.24</v>
      </c>
      <c r="J47">
        <v>0.21210000000000001</v>
      </c>
      <c r="K47">
        <v>0.44</v>
      </c>
      <c r="L47">
        <v>0.29849999999999999</v>
      </c>
      <c r="M47">
        <v>0</v>
      </c>
      <c r="N47">
        <v>9</v>
      </c>
      <c r="O47">
        <v>9</v>
      </c>
    </row>
    <row r="48" spans="1:15" x14ac:dyDescent="0.25">
      <c r="A48">
        <v>47</v>
      </c>
      <c r="B48" s="2">
        <v>40545</v>
      </c>
      <c r="C48">
        <v>1</v>
      </c>
      <c r="D48">
        <v>1</v>
      </c>
      <c r="E48">
        <v>23</v>
      </c>
      <c r="F48" t="b">
        <v>0</v>
      </c>
      <c r="G48">
        <v>0</v>
      </c>
      <c r="H48">
        <v>1</v>
      </c>
      <c r="I48">
        <v>0.22</v>
      </c>
      <c r="J48">
        <v>0.2273</v>
      </c>
      <c r="K48">
        <v>0.47</v>
      </c>
      <c r="L48">
        <v>0.16420000000000001</v>
      </c>
      <c r="M48">
        <v>0</v>
      </c>
      <c r="N48">
        <v>8</v>
      </c>
      <c r="O48">
        <v>8</v>
      </c>
    </row>
    <row r="49" spans="1:15" x14ac:dyDescent="0.25">
      <c r="A49">
        <v>48</v>
      </c>
      <c r="B49" s="2">
        <v>40546</v>
      </c>
      <c r="C49">
        <v>1</v>
      </c>
      <c r="D49">
        <v>1</v>
      </c>
      <c r="E49">
        <v>0</v>
      </c>
      <c r="F49" t="b">
        <v>0</v>
      </c>
      <c r="G49">
        <v>1</v>
      </c>
      <c r="H49">
        <v>1</v>
      </c>
      <c r="I49">
        <v>0.22</v>
      </c>
      <c r="J49">
        <v>0.19700000000000001</v>
      </c>
      <c r="K49">
        <v>0.44</v>
      </c>
      <c r="L49">
        <v>0.35820000000000002</v>
      </c>
      <c r="M49">
        <v>0</v>
      </c>
      <c r="N49">
        <v>5</v>
      </c>
      <c r="O49">
        <v>5</v>
      </c>
    </row>
    <row r="50" spans="1:15" x14ac:dyDescent="0.25">
      <c r="A50">
        <v>49</v>
      </c>
      <c r="B50" s="2">
        <v>40546</v>
      </c>
      <c r="C50">
        <v>1</v>
      </c>
      <c r="D50">
        <v>1</v>
      </c>
      <c r="E50">
        <v>1</v>
      </c>
      <c r="F50" t="b">
        <v>0</v>
      </c>
      <c r="G50">
        <v>1</v>
      </c>
      <c r="H50">
        <v>1</v>
      </c>
      <c r="I50">
        <v>0.2</v>
      </c>
      <c r="K50">
        <v>0.44</v>
      </c>
      <c r="L50">
        <v>0.41789999999999999</v>
      </c>
      <c r="M50">
        <v>0</v>
      </c>
      <c r="N50">
        <v>2</v>
      </c>
      <c r="O50">
        <v>2</v>
      </c>
    </row>
    <row r="51" spans="1:15" x14ac:dyDescent="0.25">
      <c r="A51">
        <v>50</v>
      </c>
      <c r="B51" s="2">
        <v>40546</v>
      </c>
      <c r="C51">
        <v>1</v>
      </c>
      <c r="D51">
        <v>1</v>
      </c>
      <c r="E51">
        <v>4</v>
      </c>
      <c r="F51" t="b">
        <v>0</v>
      </c>
      <c r="G51">
        <v>1</v>
      </c>
      <c r="H51">
        <v>1</v>
      </c>
      <c r="I51">
        <v>0.16</v>
      </c>
      <c r="J51">
        <v>0.13639999999999999</v>
      </c>
      <c r="K51">
        <v>0.47</v>
      </c>
      <c r="L51">
        <v>0.3881</v>
      </c>
      <c r="M51">
        <v>0</v>
      </c>
      <c r="N51">
        <v>1</v>
      </c>
      <c r="O51">
        <v>1</v>
      </c>
    </row>
    <row r="52" spans="1:15" x14ac:dyDescent="0.25">
      <c r="A52">
        <v>51</v>
      </c>
      <c r="B52" s="2">
        <v>40546</v>
      </c>
      <c r="C52">
        <v>1</v>
      </c>
      <c r="D52">
        <v>1</v>
      </c>
      <c r="E52">
        <v>5</v>
      </c>
      <c r="F52" t="b">
        <v>0</v>
      </c>
      <c r="G52">
        <v>1</v>
      </c>
      <c r="H52">
        <v>1</v>
      </c>
      <c r="I52">
        <v>0.16</v>
      </c>
      <c r="J52">
        <v>0.13639999999999999</v>
      </c>
      <c r="K52">
        <v>0.47</v>
      </c>
      <c r="L52">
        <v>0.28360000000000002</v>
      </c>
      <c r="M52">
        <v>0</v>
      </c>
      <c r="N52">
        <v>3</v>
      </c>
      <c r="O52">
        <v>3</v>
      </c>
    </row>
    <row r="53" spans="1:15" x14ac:dyDescent="0.25">
      <c r="A53">
        <v>52</v>
      </c>
      <c r="B53" s="2">
        <v>40546</v>
      </c>
      <c r="C53">
        <v>1</v>
      </c>
      <c r="D53">
        <v>1</v>
      </c>
      <c r="E53">
        <v>6</v>
      </c>
      <c r="F53" t="b">
        <v>0</v>
      </c>
      <c r="G53">
        <v>1</v>
      </c>
      <c r="H53">
        <v>1</v>
      </c>
      <c r="I53">
        <v>0.14000000000000001</v>
      </c>
      <c r="J53">
        <v>0.1061</v>
      </c>
      <c r="K53">
        <v>0.5</v>
      </c>
      <c r="L53">
        <v>0.3881</v>
      </c>
      <c r="M53">
        <v>0</v>
      </c>
      <c r="N53">
        <v>30</v>
      </c>
      <c r="O53">
        <v>30</v>
      </c>
    </row>
    <row r="54" spans="1:15" x14ac:dyDescent="0.25">
      <c r="A54">
        <v>53</v>
      </c>
      <c r="B54" s="2">
        <v>40546</v>
      </c>
      <c r="C54">
        <v>1</v>
      </c>
      <c r="D54">
        <v>1</v>
      </c>
      <c r="E54">
        <v>7</v>
      </c>
      <c r="F54" t="b">
        <v>0</v>
      </c>
      <c r="G54">
        <v>1</v>
      </c>
      <c r="H54">
        <v>1</v>
      </c>
      <c r="I54">
        <v>0.14000000000000001</v>
      </c>
      <c r="J54">
        <v>0.13639999999999999</v>
      </c>
      <c r="K54">
        <v>0.5</v>
      </c>
      <c r="L54">
        <v>0.19400000000000001</v>
      </c>
      <c r="M54">
        <v>1</v>
      </c>
      <c r="N54">
        <v>63</v>
      </c>
      <c r="O54">
        <v>64</v>
      </c>
    </row>
    <row r="55" spans="1:15" x14ac:dyDescent="0.25">
      <c r="A55">
        <v>54</v>
      </c>
      <c r="B55" s="2">
        <v>40546</v>
      </c>
      <c r="C55">
        <v>1</v>
      </c>
      <c r="D55">
        <v>1</v>
      </c>
      <c r="E55">
        <v>8</v>
      </c>
      <c r="F55" t="b">
        <v>0</v>
      </c>
      <c r="G55">
        <v>1</v>
      </c>
      <c r="H55">
        <v>1</v>
      </c>
      <c r="I55">
        <v>0.14000000000000001</v>
      </c>
      <c r="J55">
        <v>0.1212</v>
      </c>
      <c r="K55">
        <v>0.5</v>
      </c>
      <c r="L55">
        <v>0.28360000000000002</v>
      </c>
      <c r="M55">
        <v>1</v>
      </c>
      <c r="N55">
        <v>153</v>
      </c>
      <c r="O55">
        <v>154</v>
      </c>
    </row>
    <row r="56" spans="1:15" x14ac:dyDescent="0.25">
      <c r="A56">
        <v>55</v>
      </c>
      <c r="B56" s="2">
        <v>40546</v>
      </c>
      <c r="C56">
        <v>1</v>
      </c>
      <c r="D56">
        <v>1</v>
      </c>
      <c r="E56">
        <v>9</v>
      </c>
      <c r="F56" t="b">
        <v>0</v>
      </c>
      <c r="G56">
        <v>1</v>
      </c>
      <c r="H56">
        <v>1</v>
      </c>
      <c r="I56">
        <v>0.16</v>
      </c>
      <c r="J56">
        <v>0.13639999999999999</v>
      </c>
      <c r="K56">
        <v>0.43</v>
      </c>
      <c r="L56">
        <v>0.3881</v>
      </c>
      <c r="M56">
        <v>7</v>
      </c>
      <c r="N56">
        <v>81</v>
      </c>
      <c r="O56">
        <v>88</v>
      </c>
    </row>
    <row r="57" spans="1:15" x14ac:dyDescent="0.25">
      <c r="A57">
        <v>56</v>
      </c>
      <c r="B57" s="2">
        <v>40546</v>
      </c>
      <c r="C57">
        <v>1</v>
      </c>
      <c r="D57">
        <v>1</v>
      </c>
      <c r="E57">
        <v>10</v>
      </c>
      <c r="F57" t="b">
        <v>0</v>
      </c>
      <c r="G57">
        <v>1</v>
      </c>
      <c r="H57">
        <v>1</v>
      </c>
      <c r="I57">
        <v>0.18</v>
      </c>
      <c r="J57">
        <v>0.16669999999999999</v>
      </c>
      <c r="K57">
        <v>0.43</v>
      </c>
      <c r="L57">
        <v>0.25369999999999998</v>
      </c>
      <c r="M57">
        <v>11</v>
      </c>
      <c r="N57">
        <v>33</v>
      </c>
      <c r="O57">
        <v>44</v>
      </c>
    </row>
    <row r="58" spans="1:15" x14ac:dyDescent="0.25">
      <c r="A58">
        <v>57</v>
      </c>
      <c r="B58" s="2">
        <v>40546</v>
      </c>
      <c r="C58">
        <v>1</v>
      </c>
      <c r="D58">
        <v>1</v>
      </c>
      <c r="E58">
        <v>11</v>
      </c>
      <c r="F58" t="b">
        <v>0</v>
      </c>
      <c r="G58">
        <v>1</v>
      </c>
      <c r="H58">
        <v>1</v>
      </c>
      <c r="I58">
        <v>0.2</v>
      </c>
      <c r="J58">
        <v>0.18179999999999999</v>
      </c>
      <c r="K58">
        <v>0.4</v>
      </c>
      <c r="L58">
        <v>0.32840000000000003</v>
      </c>
      <c r="M58">
        <v>10</v>
      </c>
      <c r="N58">
        <v>41</v>
      </c>
      <c r="O58">
        <v>51</v>
      </c>
    </row>
    <row r="59" spans="1:15" x14ac:dyDescent="0.25">
      <c r="A59">
        <v>58</v>
      </c>
      <c r="B59" s="2">
        <v>40546</v>
      </c>
      <c r="C59">
        <v>1</v>
      </c>
      <c r="D59">
        <v>1</v>
      </c>
      <c r="E59">
        <v>12</v>
      </c>
      <c r="F59" t="b">
        <v>0</v>
      </c>
      <c r="G59">
        <v>1</v>
      </c>
      <c r="H59">
        <v>1</v>
      </c>
      <c r="I59">
        <v>0.22</v>
      </c>
      <c r="J59">
        <v>0.21210000000000001</v>
      </c>
      <c r="K59">
        <v>0.35</v>
      </c>
      <c r="L59">
        <v>0.29849999999999999</v>
      </c>
      <c r="M59">
        <v>13</v>
      </c>
      <c r="N59">
        <v>48</v>
      </c>
      <c r="O59">
        <v>61</v>
      </c>
    </row>
    <row r="60" spans="1:15" x14ac:dyDescent="0.25">
      <c r="A60">
        <v>59</v>
      </c>
      <c r="B60" s="2">
        <v>40546</v>
      </c>
      <c r="C60">
        <v>1</v>
      </c>
      <c r="D60">
        <v>1</v>
      </c>
      <c r="E60">
        <v>13</v>
      </c>
      <c r="F60" t="b">
        <v>0</v>
      </c>
      <c r="G60">
        <v>1</v>
      </c>
      <c r="H60">
        <v>1</v>
      </c>
      <c r="I60">
        <v>0.24</v>
      </c>
      <c r="K60">
        <v>0.35</v>
      </c>
      <c r="L60">
        <v>0.28360000000000002</v>
      </c>
      <c r="M60">
        <v>8</v>
      </c>
      <c r="N60">
        <v>53</v>
      </c>
      <c r="O60">
        <v>61</v>
      </c>
    </row>
    <row r="61" spans="1:15" x14ac:dyDescent="0.25">
      <c r="A61">
        <v>60</v>
      </c>
      <c r="B61" s="2">
        <v>40546</v>
      </c>
      <c r="C61">
        <v>1</v>
      </c>
      <c r="D61">
        <v>1</v>
      </c>
      <c r="E61">
        <v>14</v>
      </c>
      <c r="F61" t="b">
        <v>0</v>
      </c>
      <c r="G61">
        <v>1</v>
      </c>
      <c r="H61">
        <v>1</v>
      </c>
      <c r="I61">
        <v>0.26</v>
      </c>
      <c r="J61">
        <v>0.2424</v>
      </c>
      <c r="K61">
        <v>0.3</v>
      </c>
      <c r="L61">
        <v>0.28360000000000002</v>
      </c>
      <c r="M61">
        <v>11</v>
      </c>
      <c r="N61">
        <v>66</v>
      </c>
      <c r="O61">
        <v>77</v>
      </c>
    </row>
    <row r="62" spans="1:15" x14ac:dyDescent="0.25">
      <c r="A62">
        <v>61</v>
      </c>
      <c r="B62" s="2">
        <v>40546</v>
      </c>
      <c r="C62">
        <v>1</v>
      </c>
      <c r="D62">
        <v>1</v>
      </c>
      <c r="E62">
        <v>15</v>
      </c>
      <c r="F62" t="b">
        <v>0</v>
      </c>
      <c r="G62">
        <v>1</v>
      </c>
      <c r="H62">
        <v>1</v>
      </c>
      <c r="I62">
        <v>0.26</v>
      </c>
      <c r="J62">
        <v>0.2424</v>
      </c>
      <c r="K62">
        <v>0.3</v>
      </c>
      <c r="L62">
        <v>0.25369999999999998</v>
      </c>
      <c r="M62">
        <v>14</v>
      </c>
      <c r="N62">
        <v>58</v>
      </c>
      <c r="O62">
        <v>72</v>
      </c>
    </row>
    <row r="63" spans="1:15" x14ac:dyDescent="0.25">
      <c r="A63">
        <v>62</v>
      </c>
      <c r="B63" s="2">
        <v>40546</v>
      </c>
      <c r="C63">
        <v>1</v>
      </c>
      <c r="D63">
        <v>1</v>
      </c>
      <c r="E63">
        <v>16</v>
      </c>
      <c r="F63" t="b">
        <v>0</v>
      </c>
      <c r="G63">
        <v>1</v>
      </c>
      <c r="H63">
        <v>1</v>
      </c>
      <c r="I63">
        <v>0.26</v>
      </c>
      <c r="J63">
        <v>0.2424</v>
      </c>
      <c r="K63">
        <v>0.3</v>
      </c>
      <c r="L63">
        <v>0.25369999999999998</v>
      </c>
      <c r="M63">
        <v>9</v>
      </c>
      <c r="N63">
        <v>67</v>
      </c>
      <c r="O63">
        <v>76</v>
      </c>
    </row>
    <row r="64" spans="1:15" x14ac:dyDescent="0.25">
      <c r="A64">
        <v>63</v>
      </c>
      <c r="B64" s="2">
        <v>40546</v>
      </c>
      <c r="C64">
        <v>1</v>
      </c>
      <c r="D64">
        <v>1</v>
      </c>
      <c r="E64">
        <v>17</v>
      </c>
      <c r="F64" t="b">
        <v>0</v>
      </c>
      <c r="G64">
        <v>1</v>
      </c>
      <c r="H64">
        <v>1</v>
      </c>
      <c r="I64">
        <v>0.24</v>
      </c>
      <c r="J64">
        <v>0.2273</v>
      </c>
      <c r="K64">
        <v>0.3</v>
      </c>
      <c r="L64">
        <v>0.22389999999999999</v>
      </c>
      <c r="M64">
        <v>11</v>
      </c>
      <c r="N64">
        <v>146</v>
      </c>
      <c r="O64">
        <v>157</v>
      </c>
    </row>
    <row r="65" spans="1:15" x14ac:dyDescent="0.25">
      <c r="A65">
        <v>64</v>
      </c>
      <c r="B65" s="2">
        <v>40546</v>
      </c>
      <c r="C65">
        <v>1</v>
      </c>
      <c r="D65">
        <v>1</v>
      </c>
      <c r="E65">
        <v>18</v>
      </c>
      <c r="F65" t="b">
        <v>0</v>
      </c>
      <c r="G65">
        <v>1</v>
      </c>
      <c r="H65">
        <v>1</v>
      </c>
      <c r="I65">
        <v>0.24</v>
      </c>
      <c r="J65">
        <v>0.2576</v>
      </c>
      <c r="K65">
        <v>0.32</v>
      </c>
      <c r="L65">
        <v>0.1045</v>
      </c>
      <c r="M65">
        <v>9</v>
      </c>
      <c r="N65">
        <v>148</v>
      </c>
      <c r="O65">
        <v>157</v>
      </c>
    </row>
    <row r="66" spans="1:15" x14ac:dyDescent="0.25">
      <c r="A66">
        <v>65</v>
      </c>
      <c r="B66" s="2">
        <v>40546</v>
      </c>
      <c r="C66">
        <v>1</v>
      </c>
      <c r="D66">
        <v>1</v>
      </c>
      <c r="E66">
        <v>19</v>
      </c>
      <c r="F66" t="b">
        <v>0</v>
      </c>
      <c r="G66">
        <v>1</v>
      </c>
      <c r="H66">
        <v>1</v>
      </c>
      <c r="I66">
        <v>0.2</v>
      </c>
      <c r="J66">
        <v>0.2576</v>
      </c>
      <c r="K66">
        <v>0.47</v>
      </c>
      <c r="L66">
        <v>0.36380000000000001</v>
      </c>
      <c r="M66">
        <v>8</v>
      </c>
      <c r="N66">
        <v>102</v>
      </c>
      <c r="O66">
        <v>110</v>
      </c>
    </row>
    <row r="67" spans="1:15" x14ac:dyDescent="0.25">
      <c r="A67">
        <v>66</v>
      </c>
      <c r="B67" s="2">
        <v>40546</v>
      </c>
      <c r="C67">
        <v>1</v>
      </c>
      <c r="D67">
        <v>1</v>
      </c>
      <c r="E67">
        <v>20</v>
      </c>
      <c r="F67" t="b">
        <v>0</v>
      </c>
      <c r="G67">
        <v>1</v>
      </c>
      <c r="H67">
        <v>1</v>
      </c>
      <c r="I67">
        <v>0.2</v>
      </c>
      <c r="K67">
        <v>0.47</v>
      </c>
      <c r="L67">
        <v>0.1045</v>
      </c>
      <c r="M67">
        <v>3</v>
      </c>
      <c r="N67">
        <v>49</v>
      </c>
      <c r="O67">
        <v>52</v>
      </c>
    </row>
    <row r="68" spans="1:15" x14ac:dyDescent="0.25">
      <c r="A68">
        <v>67</v>
      </c>
      <c r="B68" s="2">
        <v>40546</v>
      </c>
      <c r="C68">
        <v>1</v>
      </c>
      <c r="D68">
        <v>1</v>
      </c>
      <c r="E68">
        <v>21</v>
      </c>
      <c r="F68" t="b">
        <v>0</v>
      </c>
      <c r="G68">
        <v>1</v>
      </c>
      <c r="H68">
        <v>1</v>
      </c>
      <c r="I68">
        <v>0.18</v>
      </c>
      <c r="J68">
        <v>0.19700000000000001</v>
      </c>
      <c r="K68">
        <v>0.64</v>
      </c>
      <c r="L68">
        <v>0.1343</v>
      </c>
      <c r="M68">
        <v>3</v>
      </c>
      <c r="N68">
        <v>49</v>
      </c>
      <c r="O68">
        <v>52</v>
      </c>
    </row>
    <row r="69" spans="1:15" x14ac:dyDescent="0.25">
      <c r="A69">
        <v>68</v>
      </c>
      <c r="B69" s="2">
        <v>40546</v>
      </c>
      <c r="C69">
        <v>1</v>
      </c>
      <c r="D69">
        <v>1</v>
      </c>
      <c r="E69">
        <v>22</v>
      </c>
      <c r="F69" t="b">
        <v>0</v>
      </c>
      <c r="G69">
        <v>1</v>
      </c>
      <c r="H69">
        <v>1</v>
      </c>
      <c r="I69">
        <v>0.14000000000000001</v>
      </c>
      <c r="J69">
        <v>0.1515</v>
      </c>
      <c r="K69">
        <v>0.69</v>
      </c>
      <c r="L69">
        <v>0.1343</v>
      </c>
      <c r="M69">
        <v>0</v>
      </c>
      <c r="N69">
        <v>20</v>
      </c>
      <c r="O69">
        <v>20</v>
      </c>
    </row>
    <row r="70" spans="1:15" x14ac:dyDescent="0.25">
      <c r="A70">
        <v>69</v>
      </c>
      <c r="B70" s="2">
        <v>40546</v>
      </c>
      <c r="C70">
        <v>1</v>
      </c>
      <c r="D70">
        <v>1</v>
      </c>
      <c r="E70">
        <v>23</v>
      </c>
      <c r="F70" t="b">
        <v>0</v>
      </c>
      <c r="G70">
        <v>1</v>
      </c>
      <c r="H70">
        <v>1</v>
      </c>
      <c r="I70">
        <v>0.18</v>
      </c>
      <c r="J70">
        <v>0.21210000000000001</v>
      </c>
      <c r="K70">
        <v>0.55000000000000004</v>
      </c>
      <c r="L70">
        <v>0.1045</v>
      </c>
      <c r="M70">
        <v>1</v>
      </c>
      <c r="N70">
        <v>11</v>
      </c>
      <c r="O70">
        <v>12</v>
      </c>
    </row>
    <row r="71" spans="1:15" x14ac:dyDescent="0.25">
      <c r="A71">
        <v>70</v>
      </c>
      <c r="B71" s="2">
        <v>40547</v>
      </c>
      <c r="C71">
        <v>1</v>
      </c>
      <c r="D71">
        <v>1</v>
      </c>
      <c r="E71">
        <v>0</v>
      </c>
      <c r="F71" t="b">
        <v>0</v>
      </c>
      <c r="G71">
        <v>2</v>
      </c>
      <c r="H71">
        <v>1</v>
      </c>
      <c r="I71">
        <v>0.16</v>
      </c>
      <c r="K71">
        <v>0.55000000000000004</v>
      </c>
      <c r="L71">
        <v>0.1045</v>
      </c>
      <c r="M71">
        <v>0</v>
      </c>
      <c r="N71">
        <v>5</v>
      </c>
      <c r="O71">
        <v>5</v>
      </c>
    </row>
    <row r="72" spans="1:15" x14ac:dyDescent="0.25">
      <c r="A72">
        <v>71</v>
      </c>
      <c r="B72" s="2">
        <v>40547</v>
      </c>
      <c r="C72">
        <v>1</v>
      </c>
      <c r="D72">
        <v>1</v>
      </c>
      <c r="E72">
        <v>1</v>
      </c>
      <c r="F72" t="b">
        <v>0</v>
      </c>
      <c r="G72">
        <v>2</v>
      </c>
      <c r="H72">
        <v>1</v>
      </c>
      <c r="I72">
        <v>0.16</v>
      </c>
      <c r="J72">
        <v>0.18179999999999999</v>
      </c>
      <c r="K72">
        <v>0.59</v>
      </c>
      <c r="L72">
        <v>0.1045</v>
      </c>
      <c r="M72">
        <v>0</v>
      </c>
      <c r="N72">
        <v>2</v>
      </c>
      <c r="O72">
        <v>2</v>
      </c>
    </row>
    <row r="73" spans="1:15" x14ac:dyDescent="0.25">
      <c r="A73">
        <v>72</v>
      </c>
      <c r="B73" s="2">
        <v>40547</v>
      </c>
      <c r="C73">
        <v>1</v>
      </c>
      <c r="D73">
        <v>1</v>
      </c>
      <c r="E73">
        <v>2</v>
      </c>
      <c r="F73" t="b">
        <v>0</v>
      </c>
      <c r="G73">
        <v>2</v>
      </c>
      <c r="H73">
        <v>1</v>
      </c>
      <c r="I73">
        <v>0.14000000000000001</v>
      </c>
      <c r="J73">
        <v>0.1515</v>
      </c>
      <c r="K73">
        <v>0.63</v>
      </c>
      <c r="L73">
        <v>0.1343</v>
      </c>
      <c r="M73">
        <v>0</v>
      </c>
      <c r="N73">
        <v>1</v>
      </c>
      <c r="O73">
        <v>1</v>
      </c>
    </row>
    <row r="74" spans="1:15" x14ac:dyDescent="0.25">
      <c r="A74">
        <v>73</v>
      </c>
      <c r="B74" s="2">
        <v>40547</v>
      </c>
      <c r="C74">
        <v>1</v>
      </c>
      <c r="D74">
        <v>1</v>
      </c>
      <c r="E74">
        <v>4</v>
      </c>
      <c r="F74" t="b">
        <v>0</v>
      </c>
      <c r="G74">
        <v>2</v>
      </c>
      <c r="H74">
        <v>1</v>
      </c>
      <c r="I74">
        <v>0.14000000000000001</v>
      </c>
      <c r="J74">
        <v>0.18179999999999999</v>
      </c>
      <c r="K74">
        <v>0.63</v>
      </c>
      <c r="L74">
        <v>8.9599999999999999E-2</v>
      </c>
      <c r="M74">
        <v>0</v>
      </c>
      <c r="N74">
        <v>2</v>
      </c>
      <c r="O74">
        <v>2</v>
      </c>
    </row>
    <row r="75" spans="1:15" x14ac:dyDescent="0.25">
      <c r="A75">
        <v>74</v>
      </c>
      <c r="B75" s="2">
        <v>40547</v>
      </c>
      <c r="C75">
        <v>1</v>
      </c>
      <c r="D75">
        <v>1</v>
      </c>
      <c r="E75">
        <v>5</v>
      </c>
      <c r="F75" t="b">
        <v>0</v>
      </c>
      <c r="G75">
        <v>2</v>
      </c>
      <c r="H75">
        <v>1</v>
      </c>
      <c r="I75">
        <v>0.12</v>
      </c>
      <c r="J75">
        <v>0.1515</v>
      </c>
      <c r="K75">
        <v>0.68</v>
      </c>
      <c r="L75">
        <v>0.1045</v>
      </c>
      <c r="M75">
        <v>0</v>
      </c>
      <c r="N75">
        <v>4</v>
      </c>
      <c r="O75">
        <v>4</v>
      </c>
    </row>
    <row r="76" spans="1:15" x14ac:dyDescent="0.25">
      <c r="A76">
        <v>75</v>
      </c>
      <c r="B76" s="2">
        <v>40547</v>
      </c>
      <c r="C76">
        <v>1</v>
      </c>
      <c r="D76">
        <v>1</v>
      </c>
      <c r="E76">
        <v>6</v>
      </c>
      <c r="F76" t="b">
        <v>0</v>
      </c>
      <c r="G76">
        <v>2</v>
      </c>
      <c r="H76">
        <v>1</v>
      </c>
      <c r="I76">
        <v>0.12</v>
      </c>
      <c r="J76">
        <v>0.1515</v>
      </c>
      <c r="K76">
        <v>0.74</v>
      </c>
      <c r="L76">
        <v>0.1045</v>
      </c>
      <c r="M76">
        <v>0</v>
      </c>
      <c r="N76">
        <v>36</v>
      </c>
      <c r="O76">
        <v>36</v>
      </c>
    </row>
    <row r="77" spans="1:15" x14ac:dyDescent="0.25">
      <c r="A77">
        <v>76</v>
      </c>
      <c r="B77" s="2">
        <v>40547</v>
      </c>
      <c r="C77">
        <v>1</v>
      </c>
      <c r="D77">
        <v>1</v>
      </c>
      <c r="E77">
        <v>7</v>
      </c>
      <c r="F77" t="b">
        <v>0</v>
      </c>
      <c r="G77">
        <v>2</v>
      </c>
      <c r="H77">
        <v>1</v>
      </c>
      <c r="I77">
        <v>0.12</v>
      </c>
      <c r="J77">
        <v>0.1515</v>
      </c>
      <c r="K77">
        <v>0.74</v>
      </c>
      <c r="L77">
        <v>0.1343</v>
      </c>
      <c r="M77">
        <v>2</v>
      </c>
      <c r="N77">
        <v>92</v>
      </c>
      <c r="O77">
        <v>94</v>
      </c>
    </row>
    <row r="78" spans="1:15" x14ac:dyDescent="0.25">
      <c r="A78">
        <v>77</v>
      </c>
      <c r="B78" s="2">
        <v>40547</v>
      </c>
      <c r="C78">
        <v>1</v>
      </c>
      <c r="D78">
        <v>1</v>
      </c>
      <c r="E78">
        <v>8</v>
      </c>
      <c r="F78" t="b">
        <v>0</v>
      </c>
      <c r="G78">
        <v>2</v>
      </c>
      <c r="H78">
        <v>1</v>
      </c>
      <c r="I78">
        <v>0.14000000000000001</v>
      </c>
      <c r="J78">
        <v>0.1515</v>
      </c>
      <c r="K78">
        <v>0.69</v>
      </c>
      <c r="L78">
        <v>0.16420000000000001</v>
      </c>
      <c r="M78">
        <v>2</v>
      </c>
      <c r="N78">
        <v>177</v>
      </c>
      <c r="O78">
        <v>179</v>
      </c>
    </row>
    <row r="79" spans="1:15" x14ac:dyDescent="0.25">
      <c r="A79">
        <v>78</v>
      </c>
      <c r="B79" s="2">
        <v>40547</v>
      </c>
      <c r="C79">
        <v>1</v>
      </c>
      <c r="D79">
        <v>1</v>
      </c>
      <c r="E79">
        <v>9</v>
      </c>
      <c r="F79" t="b">
        <v>0</v>
      </c>
      <c r="G79">
        <v>2</v>
      </c>
      <c r="H79">
        <v>1</v>
      </c>
      <c r="I79">
        <v>0.16</v>
      </c>
      <c r="J79">
        <v>0.1515</v>
      </c>
      <c r="K79">
        <v>0.64</v>
      </c>
      <c r="L79">
        <v>0.22389999999999999</v>
      </c>
      <c r="M79">
        <v>2</v>
      </c>
      <c r="N79">
        <v>98</v>
      </c>
      <c r="O79">
        <v>100</v>
      </c>
    </row>
    <row r="80" spans="1:15" x14ac:dyDescent="0.25">
      <c r="A80">
        <v>79</v>
      </c>
      <c r="B80" s="2">
        <v>40547</v>
      </c>
      <c r="C80">
        <v>1</v>
      </c>
      <c r="D80">
        <v>1</v>
      </c>
      <c r="E80">
        <v>10</v>
      </c>
      <c r="F80" t="b">
        <v>0</v>
      </c>
      <c r="G80">
        <v>2</v>
      </c>
      <c r="H80">
        <v>2</v>
      </c>
      <c r="I80">
        <v>0.16</v>
      </c>
      <c r="J80">
        <v>0.13639999999999999</v>
      </c>
      <c r="K80">
        <v>0.69</v>
      </c>
      <c r="L80">
        <v>0.32840000000000003</v>
      </c>
      <c r="M80">
        <v>5</v>
      </c>
      <c r="N80">
        <v>37</v>
      </c>
      <c r="O80">
        <v>42</v>
      </c>
    </row>
    <row r="81" spans="1:15" x14ac:dyDescent="0.25">
      <c r="A81">
        <v>80</v>
      </c>
      <c r="B81" s="2">
        <v>40547</v>
      </c>
      <c r="C81">
        <v>1</v>
      </c>
      <c r="D81">
        <v>1</v>
      </c>
      <c r="E81">
        <v>11</v>
      </c>
      <c r="F81" t="b">
        <v>0</v>
      </c>
      <c r="G81">
        <v>2</v>
      </c>
      <c r="H81">
        <v>1</v>
      </c>
      <c r="I81">
        <v>0.22</v>
      </c>
      <c r="J81">
        <v>0.21210000000000001</v>
      </c>
      <c r="K81">
        <v>0.51</v>
      </c>
      <c r="L81">
        <v>0.29849999999999999</v>
      </c>
      <c r="M81">
        <v>7</v>
      </c>
      <c r="N81">
        <v>50</v>
      </c>
      <c r="O81">
        <v>57</v>
      </c>
    </row>
    <row r="82" spans="1:15" x14ac:dyDescent="0.25">
      <c r="A82">
        <v>81</v>
      </c>
      <c r="B82" s="2">
        <v>40547</v>
      </c>
      <c r="C82">
        <v>1</v>
      </c>
      <c r="D82">
        <v>1</v>
      </c>
      <c r="E82">
        <v>12</v>
      </c>
      <c r="F82" t="b">
        <v>0</v>
      </c>
      <c r="G82">
        <v>2</v>
      </c>
      <c r="H82">
        <v>1</v>
      </c>
      <c r="I82">
        <v>0.22</v>
      </c>
      <c r="J82">
        <v>0.2273</v>
      </c>
      <c r="K82">
        <v>0.51</v>
      </c>
      <c r="L82">
        <v>0.16420000000000001</v>
      </c>
      <c r="M82">
        <v>12</v>
      </c>
      <c r="N82">
        <v>66</v>
      </c>
      <c r="O82">
        <v>78</v>
      </c>
    </row>
    <row r="83" spans="1:15" x14ac:dyDescent="0.25">
      <c r="A83">
        <v>82</v>
      </c>
      <c r="B83" s="2">
        <v>40547</v>
      </c>
      <c r="C83">
        <v>1</v>
      </c>
      <c r="D83">
        <v>1</v>
      </c>
      <c r="E83">
        <v>13</v>
      </c>
      <c r="F83" t="b">
        <v>0</v>
      </c>
      <c r="G83">
        <v>2</v>
      </c>
      <c r="H83">
        <v>1</v>
      </c>
      <c r="I83">
        <v>0.24</v>
      </c>
      <c r="J83">
        <v>0.2273</v>
      </c>
      <c r="K83">
        <v>0.56000000000000005</v>
      </c>
      <c r="L83">
        <v>0.19400000000000001</v>
      </c>
      <c r="M83">
        <v>18</v>
      </c>
      <c r="N83">
        <v>79</v>
      </c>
      <c r="O83">
        <v>97</v>
      </c>
    </row>
    <row r="84" spans="1:15" x14ac:dyDescent="0.25">
      <c r="A84">
        <v>83</v>
      </c>
      <c r="B84" s="2">
        <v>40547</v>
      </c>
      <c r="C84">
        <v>1</v>
      </c>
      <c r="D84">
        <v>1</v>
      </c>
      <c r="E84">
        <v>14</v>
      </c>
      <c r="F84" t="b">
        <v>0</v>
      </c>
      <c r="G84">
        <v>2</v>
      </c>
      <c r="H84">
        <v>1</v>
      </c>
      <c r="I84">
        <v>0.26</v>
      </c>
      <c r="J84">
        <v>0.2576</v>
      </c>
      <c r="K84">
        <v>0.52</v>
      </c>
      <c r="L84">
        <v>0.22389999999999999</v>
      </c>
      <c r="M84">
        <v>9</v>
      </c>
      <c r="N84">
        <v>54</v>
      </c>
      <c r="O84">
        <v>63</v>
      </c>
    </row>
    <row r="85" spans="1:15" x14ac:dyDescent="0.25">
      <c r="A85">
        <v>84</v>
      </c>
      <c r="B85" s="2">
        <v>40547</v>
      </c>
      <c r="C85">
        <v>1</v>
      </c>
      <c r="D85">
        <v>1</v>
      </c>
      <c r="E85">
        <v>15</v>
      </c>
      <c r="F85" t="b">
        <v>0</v>
      </c>
      <c r="G85">
        <v>2</v>
      </c>
      <c r="H85">
        <v>1</v>
      </c>
      <c r="I85">
        <v>0.28000000000000003</v>
      </c>
      <c r="J85">
        <v>0.2727</v>
      </c>
      <c r="K85">
        <v>0.52</v>
      </c>
      <c r="L85">
        <v>0.25369999999999998</v>
      </c>
      <c r="M85">
        <v>17</v>
      </c>
      <c r="N85">
        <v>48</v>
      </c>
      <c r="O85">
        <v>65</v>
      </c>
    </row>
    <row r="86" spans="1:15" x14ac:dyDescent="0.25">
      <c r="A86">
        <v>85</v>
      </c>
      <c r="B86" s="2">
        <v>40547</v>
      </c>
      <c r="C86">
        <v>1</v>
      </c>
      <c r="D86">
        <v>1</v>
      </c>
      <c r="E86">
        <v>16</v>
      </c>
      <c r="F86" t="b">
        <v>0</v>
      </c>
      <c r="G86">
        <v>2</v>
      </c>
      <c r="H86">
        <v>1</v>
      </c>
      <c r="I86">
        <v>0.3</v>
      </c>
      <c r="J86">
        <v>0.28789999999999999</v>
      </c>
      <c r="K86">
        <v>0.49</v>
      </c>
      <c r="L86">
        <v>0.25369999999999998</v>
      </c>
      <c r="M86">
        <v>15</v>
      </c>
      <c r="N86">
        <v>68</v>
      </c>
      <c r="O86">
        <v>83</v>
      </c>
    </row>
    <row r="87" spans="1:15" x14ac:dyDescent="0.25">
      <c r="A87">
        <v>86</v>
      </c>
      <c r="B87" s="2">
        <v>40547</v>
      </c>
      <c r="C87">
        <v>1</v>
      </c>
      <c r="D87">
        <v>1</v>
      </c>
      <c r="E87">
        <v>17</v>
      </c>
      <c r="F87" t="b">
        <v>0</v>
      </c>
      <c r="G87">
        <v>2</v>
      </c>
      <c r="H87">
        <v>1</v>
      </c>
      <c r="I87">
        <v>0.28000000000000003</v>
      </c>
      <c r="J87">
        <v>0.2727</v>
      </c>
      <c r="K87">
        <v>0.48</v>
      </c>
      <c r="L87">
        <v>0.22389999999999999</v>
      </c>
      <c r="M87">
        <v>10</v>
      </c>
      <c r="N87">
        <v>202</v>
      </c>
      <c r="O87">
        <v>212</v>
      </c>
    </row>
    <row r="88" spans="1:15" x14ac:dyDescent="0.25">
      <c r="A88">
        <v>87</v>
      </c>
      <c r="B88" s="2">
        <v>40547</v>
      </c>
      <c r="C88">
        <v>1</v>
      </c>
      <c r="D88">
        <v>1</v>
      </c>
      <c r="E88">
        <v>18</v>
      </c>
      <c r="F88" t="b">
        <v>0</v>
      </c>
      <c r="G88">
        <v>2</v>
      </c>
      <c r="H88">
        <v>1</v>
      </c>
      <c r="I88">
        <v>0.26</v>
      </c>
      <c r="J88">
        <v>0.2576</v>
      </c>
      <c r="K88">
        <v>0.48</v>
      </c>
      <c r="L88">
        <v>0.19400000000000001</v>
      </c>
      <c r="M88">
        <v>3</v>
      </c>
      <c r="N88">
        <v>179</v>
      </c>
      <c r="O88">
        <v>182</v>
      </c>
    </row>
    <row r="89" spans="1:15" x14ac:dyDescent="0.25">
      <c r="A89">
        <v>88</v>
      </c>
      <c r="B89" s="2">
        <v>40547</v>
      </c>
      <c r="C89">
        <v>1</v>
      </c>
      <c r="D89">
        <v>1</v>
      </c>
      <c r="E89">
        <v>19</v>
      </c>
      <c r="F89" t="b">
        <v>0</v>
      </c>
      <c r="G89">
        <v>2</v>
      </c>
      <c r="H89">
        <v>1</v>
      </c>
      <c r="I89">
        <v>0.24</v>
      </c>
      <c r="J89">
        <v>0.2576</v>
      </c>
      <c r="K89">
        <v>0.48</v>
      </c>
      <c r="L89">
        <v>0.1045</v>
      </c>
      <c r="M89">
        <v>2</v>
      </c>
      <c r="N89">
        <v>110</v>
      </c>
      <c r="O89">
        <v>112</v>
      </c>
    </row>
    <row r="90" spans="1:15" x14ac:dyDescent="0.25">
      <c r="A90">
        <v>89</v>
      </c>
      <c r="B90" s="2">
        <v>40547</v>
      </c>
      <c r="C90">
        <v>1</v>
      </c>
      <c r="D90">
        <v>1</v>
      </c>
      <c r="E90">
        <v>20</v>
      </c>
      <c r="F90" t="b">
        <v>0</v>
      </c>
      <c r="G90">
        <v>2</v>
      </c>
      <c r="H90">
        <v>1</v>
      </c>
      <c r="I90">
        <v>0.24</v>
      </c>
      <c r="J90">
        <v>0.2576</v>
      </c>
      <c r="K90">
        <v>0.48</v>
      </c>
      <c r="L90">
        <v>0.1045</v>
      </c>
      <c r="M90">
        <v>1</v>
      </c>
      <c r="N90">
        <v>53</v>
      </c>
      <c r="O90">
        <v>54</v>
      </c>
    </row>
    <row r="91" spans="1:15" x14ac:dyDescent="0.25">
      <c r="A91">
        <v>90</v>
      </c>
      <c r="B91" s="2">
        <v>40547</v>
      </c>
      <c r="C91">
        <v>1</v>
      </c>
      <c r="D91">
        <v>1</v>
      </c>
      <c r="E91">
        <v>21</v>
      </c>
      <c r="F91" t="b">
        <v>0</v>
      </c>
      <c r="G91">
        <v>2</v>
      </c>
      <c r="H91">
        <v>1</v>
      </c>
      <c r="I91">
        <v>0.22</v>
      </c>
      <c r="J91">
        <v>0.2727</v>
      </c>
      <c r="K91">
        <v>0.64</v>
      </c>
      <c r="L91">
        <v>0.45635000000000003</v>
      </c>
      <c r="M91">
        <v>0</v>
      </c>
      <c r="N91">
        <v>48</v>
      </c>
      <c r="O91">
        <v>48</v>
      </c>
    </row>
    <row r="92" spans="1:15" x14ac:dyDescent="0.25">
      <c r="A92">
        <v>91</v>
      </c>
      <c r="B92" s="2">
        <v>40547</v>
      </c>
      <c r="C92">
        <v>1</v>
      </c>
      <c r="D92">
        <v>1</v>
      </c>
      <c r="E92">
        <v>22</v>
      </c>
      <c r="F92" t="b">
        <v>0</v>
      </c>
      <c r="G92">
        <v>2</v>
      </c>
      <c r="H92">
        <v>1</v>
      </c>
      <c r="I92">
        <v>0.22</v>
      </c>
      <c r="J92">
        <v>0.2576</v>
      </c>
      <c r="K92">
        <v>0.64</v>
      </c>
      <c r="L92">
        <v>8.9599999999999999E-2</v>
      </c>
      <c r="M92">
        <v>1</v>
      </c>
      <c r="N92">
        <v>34</v>
      </c>
      <c r="O92">
        <v>35</v>
      </c>
    </row>
    <row r="93" spans="1:15" x14ac:dyDescent="0.25">
      <c r="A93">
        <v>92</v>
      </c>
      <c r="B93" s="2">
        <v>40547</v>
      </c>
      <c r="C93">
        <v>1</v>
      </c>
      <c r="D93">
        <v>1</v>
      </c>
      <c r="E93">
        <v>23</v>
      </c>
      <c r="F93" t="b">
        <v>0</v>
      </c>
      <c r="G93">
        <v>2</v>
      </c>
      <c r="H93">
        <v>1</v>
      </c>
      <c r="I93">
        <v>0.2</v>
      </c>
      <c r="J93">
        <v>0.2273</v>
      </c>
      <c r="K93">
        <v>0.69</v>
      </c>
      <c r="L93">
        <v>8.9599999999999999E-2</v>
      </c>
      <c r="M93">
        <v>2</v>
      </c>
      <c r="N93">
        <v>9</v>
      </c>
      <c r="O93">
        <v>11</v>
      </c>
    </row>
    <row r="94" spans="1:15" x14ac:dyDescent="0.25">
      <c r="A94">
        <v>93</v>
      </c>
      <c r="B94" s="2">
        <v>40548</v>
      </c>
      <c r="C94">
        <v>1</v>
      </c>
      <c r="D94">
        <v>1</v>
      </c>
      <c r="E94">
        <v>0</v>
      </c>
      <c r="F94" t="b">
        <v>0</v>
      </c>
      <c r="G94">
        <v>3</v>
      </c>
      <c r="H94">
        <v>1</v>
      </c>
      <c r="I94">
        <v>0.2</v>
      </c>
      <c r="J94">
        <v>0.2576</v>
      </c>
      <c r="K94">
        <v>0.64</v>
      </c>
      <c r="L94">
        <v>0.44879999999999998</v>
      </c>
      <c r="M94">
        <v>0</v>
      </c>
      <c r="N94">
        <v>6</v>
      </c>
      <c r="O94">
        <v>6</v>
      </c>
    </row>
    <row r="95" spans="1:15" x14ac:dyDescent="0.25">
      <c r="A95">
        <v>94</v>
      </c>
      <c r="B95" s="2">
        <v>40548</v>
      </c>
      <c r="C95">
        <v>1</v>
      </c>
      <c r="D95">
        <v>1</v>
      </c>
      <c r="E95">
        <v>1</v>
      </c>
      <c r="F95" t="b">
        <v>0</v>
      </c>
      <c r="G95">
        <v>3</v>
      </c>
      <c r="H95">
        <v>1</v>
      </c>
      <c r="I95">
        <v>0.16</v>
      </c>
      <c r="J95">
        <v>0.19700000000000001</v>
      </c>
      <c r="K95">
        <v>0.74</v>
      </c>
      <c r="L95">
        <v>8.9599999999999999E-2</v>
      </c>
      <c r="M95">
        <v>0</v>
      </c>
      <c r="N95">
        <v>6</v>
      </c>
      <c r="O95">
        <v>6</v>
      </c>
    </row>
    <row r="96" spans="1:15" x14ac:dyDescent="0.25">
      <c r="A96">
        <v>95</v>
      </c>
      <c r="B96" s="2">
        <v>40548</v>
      </c>
      <c r="C96">
        <v>1</v>
      </c>
      <c r="D96">
        <v>1</v>
      </c>
      <c r="E96">
        <v>2</v>
      </c>
      <c r="F96" t="b">
        <v>0</v>
      </c>
      <c r="G96">
        <v>3</v>
      </c>
      <c r="H96">
        <v>1</v>
      </c>
      <c r="I96">
        <v>0.16</v>
      </c>
      <c r="J96">
        <v>0.19700000000000001</v>
      </c>
      <c r="K96">
        <v>0.74</v>
      </c>
      <c r="L96">
        <v>8.9599999999999999E-2</v>
      </c>
      <c r="M96">
        <v>0</v>
      </c>
      <c r="N96">
        <v>2</v>
      </c>
      <c r="O96">
        <v>2</v>
      </c>
    </row>
    <row r="97" spans="1:15" x14ac:dyDescent="0.25">
      <c r="A97">
        <v>96</v>
      </c>
      <c r="B97" s="2">
        <v>40548</v>
      </c>
      <c r="C97">
        <v>1</v>
      </c>
      <c r="D97">
        <v>1</v>
      </c>
      <c r="E97">
        <v>4</v>
      </c>
      <c r="F97" t="b">
        <v>0</v>
      </c>
      <c r="G97">
        <v>3</v>
      </c>
      <c r="H97">
        <v>1</v>
      </c>
      <c r="I97">
        <v>0.24</v>
      </c>
      <c r="J97">
        <v>0.2273</v>
      </c>
      <c r="K97">
        <v>0.48</v>
      </c>
      <c r="L97">
        <v>0.22389999999999999</v>
      </c>
      <c r="M97">
        <v>0</v>
      </c>
      <c r="N97">
        <v>2</v>
      </c>
      <c r="O97">
        <v>2</v>
      </c>
    </row>
    <row r="98" spans="1:15" x14ac:dyDescent="0.25">
      <c r="A98">
        <v>97</v>
      </c>
      <c r="B98" s="2">
        <v>40548</v>
      </c>
      <c r="C98">
        <v>1</v>
      </c>
      <c r="D98">
        <v>1</v>
      </c>
      <c r="E98">
        <v>5</v>
      </c>
      <c r="F98" t="b">
        <v>0</v>
      </c>
      <c r="G98">
        <v>3</v>
      </c>
      <c r="H98">
        <v>1</v>
      </c>
      <c r="I98">
        <v>0.22</v>
      </c>
      <c r="J98">
        <v>0.2273</v>
      </c>
      <c r="K98">
        <v>0.47</v>
      </c>
      <c r="L98">
        <v>0.16420000000000001</v>
      </c>
      <c r="M98">
        <v>0</v>
      </c>
      <c r="N98">
        <v>3</v>
      </c>
      <c r="O98">
        <v>3</v>
      </c>
    </row>
    <row r="99" spans="1:15" x14ac:dyDescent="0.25">
      <c r="A99">
        <v>98</v>
      </c>
      <c r="B99" s="2">
        <v>40548</v>
      </c>
      <c r="C99">
        <v>1</v>
      </c>
      <c r="D99">
        <v>1</v>
      </c>
      <c r="E99">
        <v>6</v>
      </c>
      <c r="F99" t="b">
        <v>0</v>
      </c>
      <c r="G99">
        <v>3</v>
      </c>
      <c r="H99">
        <v>1</v>
      </c>
      <c r="I99">
        <v>0.2</v>
      </c>
      <c r="J99">
        <v>0.19700000000000001</v>
      </c>
      <c r="K99">
        <v>0.47</v>
      </c>
      <c r="L99">
        <v>0.22389999999999999</v>
      </c>
      <c r="M99">
        <v>0</v>
      </c>
      <c r="N99">
        <v>33</v>
      </c>
      <c r="O99">
        <v>33</v>
      </c>
    </row>
    <row r="100" spans="1:15" x14ac:dyDescent="0.25">
      <c r="A100">
        <v>99</v>
      </c>
      <c r="B100" s="2">
        <v>40548</v>
      </c>
      <c r="C100">
        <v>1</v>
      </c>
      <c r="D100">
        <v>1</v>
      </c>
      <c r="E100">
        <v>7</v>
      </c>
      <c r="F100" t="b">
        <v>0</v>
      </c>
      <c r="G100">
        <v>3</v>
      </c>
      <c r="H100">
        <v>1</v>
      </c>
      <c r="I100">
        <v>0.18</v>
      </c>
      <c r="J100">
        <v>0.18179999999999999</v>
      </c>
      <c r="K100">
        <v>0.43</v>
      </c>
      <c r="L100">
        <v>0.19400000000000001</v>
      </c>
      <c r="M100">
        <v>1</v>
      </c>
      <c r="N100">
        <v>87</v>
      </c>
      <c r="O100">
        <v>88</v>
      </c>
    </row>
    <row r="101" spans="1:15" x14ac:dyDescent="0.25">
      <c r="A101">
        <v>100</v>
      </c>
      <c r="B101" s="2">
        <v>40548</v>
      </c>
      <c r="C101">
        <v>1</v>
      </c>
      <c r="D101">
        <v>1</v>
      </c>
      <c r="E101">
        <v>8</v>
      </c>
      <c r="F101" t="b">
        <v>0</v>
      </c>
      <c r="G101">
        <v>3</v>
      </c>
      <c r="H101">
        <v>1</v>
      </c>
      <c r="I101">
        <v>0.2</v>
      </c>
      <c r="J101">
        <v>0.18179999999999999</v>
      </c>
      <c r="K101">
        <v>0.4</v>
      </c>
      <c r="L101">
        <v>0.29849999999999999</v>
      </c>
      <c r="M101">
        <v>3</v>
      </c>
      <c r="N101">
        <v>192</v>
      </c>
      <c r="O101">
        <v>195</v>
      </c>
    </row>
    <row r="102" spans="1:15" x14ac:dyDescent="0.25">
      <c r="A102">
        <v>101</v>
      </c>
      <c r="B102" s="2">
        <v>40548</v>
      </c>
      <c r="C102">
        <v>1</v>
      </c>
      <c r="D102">
        <v>1</v>
      </c>
      <c r="E102">
        <v>9</v>
      </c>
      <c r="F102" t="b">
        <v>0</v>
      </c>
      <c r="G102">
        <v>3</v>
      </c>
      <c r="H102">
        <v>1</v>
      </c>
      <c r="I102">
        <v>0.22</v>
      </c>
      <c r="J102">
        <v>0.19700000000000001</v>
      </c>
      <c r="K102">
        <v>0.37</v>
      </c>
      <c r="L102">
        <v>0.32840000000000003</v>
      </c>
      <c r="M102">
        <v>6</v>
      </c>
      <c r="N102">
        <v>109</v>
      </c>
      <c r="O102">
        <v>115</v>
      </c>
    </row>
    <row r="103" spans="1:15" x14ac:dyDescent="0.25">
      <c r="A103">
        <v>102</v>
      </c>
      <c r="B103" s="2">
        <v>40548</v>
      </c>
      <c r="C103">
        <v>1</v>
      </c>
      <c r="D103">
        <v>1</v>
      </c>
      <c r="E103">
        <v>10</v>
      </c>
      <c r="F103" t="b">
        <v>0</v>
      </c>
      <c r="G103">
        <v>3</v>
      </c>
      <c r="H103">
        <v>1</v>
      </c>
      <c r="I103">
        <v>0.22</v>
      </c>
      <c r="J103">
        <v>0.19700000000000001</v>
      </c>
      <c r="K103">
        <v>0.37</v>
      </c>
      <c r="L103">
        <v>0.32840000000000003</v>
      </c>
      <c r="M103">
        <v>4</v>
      </c>
      <c r="N103">
        <v>53</v>
      </c>
      <c r="O103">
        <v>57</v>
      </c>
    </row>
    <row r="104" spans="1:15" x14ac:dyDescent="0.25">
      <c r="A104">
        <v>103</v>
      </c>
      <c r="B104" s="2">
        <v>40548</v>
      </c>
      <c r="C104">
        <v>1</v>
      </c>
      <c r="D104">
        <v>1</v>
      </c>
      <c r="E104">
        <v>11</v>
      </c>
      <c r="F104" t="b">
        <v>0</v>
      </c>
      <c r="G104">
        <v>3</v>
      </c>
      <c r="H104">
        <v>1</v>
      </c>
      <c r="I104">
        <v>0.26</v>
      </c>
      <c r="J104">
        <v>0.2273</v>
      </c>
      <c r="K104">
        <v>0.33</v>
      </c>
      <c r="L104">
        <v>0.32840000000000003</v>
      </c>
      <c r="M104">
        <v>12</v>
      </c>
      <c r="N104">
        <v>34</v>
      </c>
      <c r="O104">
        <v>46</v>
      </c>
    </row>
    <row r="105" spans="1:15" x14ac:dyDescent="0.25">
      <c r="A105">
        <v>104</v>
      </c>
      <c r="B105" s="2">
        <v>40548</v>
      </c>
      <c r="C105">
        <v>1</v>
      </c>
      <c r="D105">
        <v>1</v>
      </c>
      <c r="E105">
        <v>12</v>
      </c>
      <c r="F105" t="b">
        <v>0</v>
      </c>
      <c r="G105">
        <v>3</v>
      </c>
      <c r="H105">
        <v>1</v>
      </c>
      <c r="I105">
        <v>0.26</v>
      </c>
      <c r="J105">
        <v>0.2273</v>
      </c>
      <c r="K105">
        <v>0.33</v>
      </c>
      <c r="L105">
        <v>0.32840000000000003</v>
      </c>
      <c r="M105">
        <v>5</v>
      </c>
      <c r="N105">
        <v>74</v>
      </c>
      <c r="O105">
        <v>79</v>
      </c>
    </row>
    <row r="106" spans="1:15" x14ac:dyDescent="0.25">
      <c r="A106">
        <v>105</v>
      </c>
      <c r="B106" s="2">
        <v>40548</v>
      </c>
      <c r="C106">
        <v>1</v>
      </c>
      <c r="D106">
        <v>1</v>
      </c>
      <c r="E106">
        <v>13</v>
      </c>
      <c r="F106" t="b">
        <v>0</v>
      </c>
      <c r="G106">
        <v>3</v>
      </c>
      <c r="H106">
        <v>1</v>
      </c>
      <c r="I106">
        <v>0.28000000000000003</v>
      </c>
      <c r="J106">
        <v>0.2576</v>
      </c>
      <c r="K106">
        <v>0.3</v>
      </c>
      <c r="L106">
        <v>0.29849999999999999</v>
      </c>
      <c r="M106">
        <v>6</v>
      </c>
      <c r="N106">
        <v>65</v>
      </c>
      <c r="O106">
        <v>71</v>
      </c>
    </row>
    <row r="107" spans="1:15" x14ac:dyDescent="0.25">
      <c r="A107">
        <v>106</v>
      </c>
      <c r="B107" s="2">
        <v>40548</v>
      </c>
      <c r="C107">
        <v>1</v>
      </c>
      <c r="D107">
        <v>1</v>
      </c>
      <c r="E107">
        <v>14</v>
      </c>
      <c r="F107" t="b">
        <v>0</v>
      </c>
      <c r="G107">
        <v>3</v>
      </c>
      <c r="H107">
        <v>1</v>
      </c>
      <c r="I107">
        <v>0.3</v>
      </c>
      <c r="J107">
        <v>0.28789999999999999</v>
      </c>
      <c r="K107">
        <v>0.28000000000000003</v>
      </c>
      <c r="L107">
        <v>0.19400000000000001</v>
      </c>
      <c r="M107">
        <v>10</v>
      </c>
      <c r="N107">
        <v>52</v>
      </c>
      <c r="O107">
        <v>62</v>
      </c>
    </row>
    <row r="108" spans="1:15" x14ac:dyDescent="0.25">
      <c r="A108">
        <v>107</v>
      </c>
      <c r="B108" s="2">
        <v>40548</v>
      </c>
      <c r="C108">
        <v>1</v>
      </c>
      <c r="D108">
        <v>1</v>
      </c>
      <c r="E108">
        <v>15</v>
      </c>
      <c r="F108" t="b">
        <v>0</v>
      </c>
      <c r="G108">
        <v>3</v>
      </c>
      <c r="H108">
        <v>1</v>
      </c>
      <c r="I108">
        <v>0.3</v>
      </c>
      <c r="J108">
        <v>0.28789999999999999</v>
      </c>
      <c r="K108">
        <v>0.28000000000000003</v>
      </c>
      <c r="L108">
        <v>0.19400000000000001</v>
      </c>
      <c r="M108">
        <v>7</v>
      </c>
      <c r="N108">
        <v>55</v>
      </c>
      <c r="O108">
        <v>62</v>
      </c>
    </row>
    <row r="109" spans="1:15" x14ac:dyDescent="0.25">
      <c r="A109">
        <v>108</v>
      </c>
      <c r="B109" s="2">
        <v>40548</v>
      </c>
      <c r="C109">
        <v>1</v>
      </c>
      <c r="D109">
        <v>1</v>
      </c>
      <c r="E109">
        <v>16</v>
      </c>
      <c r="F109" t="b">
        <v>0</v>
      </c>
      <c r="G109">
        <v>3</v>
      </c>
      <c r="H109">
        <v>1</v>
      </c>
      <c r="I109">
        <v>0.3</v>
      </c>
      <c r="J109">
        <v>0.31819999999999998</v>
      </c>
      <c r="K109">
        <v>0.28000000000000003</v>
      </c>
      <c r="L109">
        <v>8.9599999999999999E-2</v>
      </c>
      <c r="M109">
        <v>4</v>
      </c>
      <c r="N109">
        <v>85</v>
      </c>
      <c r="O109">
        <v>89</v>
      </c>
    </row>
    <row r="110" spans="1:15" x14ac:dyDescent="0.25">
      <c r="A110">
        <v>109</v>
      </c>
      <c r="B110" s="2">
        <v>40548</v>
      </c>
      <c r="C110">
        <v>1</v>
      </c>
      <c r="D110">
        <v>1</v>
      </c>
      <c r="E110">
        <v>17</v>
      </c>
      <c r="F110" t="b">
        <v>0</v>
      </c>
      <c r="G110">
        <v>3</v>
      </c>
      <c r="H110">
        <v>1</v>
      </c>
      <c r="I110">
        <v>0.24</v>
      </c>
      <c r="J110">
        <v>0.2273</v>
      </c>
      <c r="K110">
        <v>0.38</v>
      </c>
      <c r="L110">
        <v>0.19400000000000001</v>
      </c>
      <c r="M110">
        <v>4</v>
      </c>
      <c r="N110">
        <v>186</v>
      </c>
      <c r="O110">
        <v>190</v>
      </c>
    </row>
    <row r="111" spans="1:15" x14ac:dyDescent="0.25">
      <c r="A111">
        <v>110</v>
      </c>
      <c r="B111" s="2">
        <v>40548</v>
      </c>
      <c r="C111">
        <v>1</v>
      </c>
      <c r="D111">
        <v>1</v>
      </c>
      <c r="E111">
        <v>18</v>
      </c>
      <c r="F111" t="b">
        <v>0</v>
      </c>
      <c r="G111">
        <v>3</v>
      </c>
      <c r="H111">
        <v>1</v>
      </c>
      <c r="I111">
        <v>0.24</v>
      </c>
      <c r="J111">
        <v>0.2424</v>
      </c>
      <c r="K111">
        <v>0.38</v>
      </c>
      <c r="L111">
        <v>0.1343</v>
      </c>
      <c r="M111">
        <v>3</v>
      </c>
      <c r="N111">
        <v>166</v>
      </c>
      <c r="O111">
        <v>169</v>
      </c>
    </row>
    <row r="112" spans="1:15" x14ac:dyDescent="0.25">
      <c r="A112">
        <v>111</v>
      </c>
      <c r="B112" s="2">
        <v>40548</v>
      </c>
      <c r="C112">
        <v>1</v>
      </c>
      <c r="D112">
        <v>1</v>
      </c>
      <c r="E112">
        <v>19</v>
      </c>
      <c r="F112" t="b">
        <v>0</v>
      </c>
      <c r="G112">
        <v>3</v>
      </c>
      <c r="H112">
        <v>1</v>
      </c>
      <c r="I112">
        <v>0.24</v>
      </c>
      <c r="J112">
        <v>0.2576</v>
      </c>
      <c r="K112">
        <v>0.38</v>
      </c>
      <c r="L112">
        <v>0.1045</v>
      </c>
      <c r="M112">
        <v>5</v>
      </c>
      <c r="N112">
        <v>127</v>
      </c>
      <c r="O112">
        <v>132</v>
      </c>
    </row>
    <row r="113" spans="1:15" x14ac:dyDescent="0.25">
      <c r="A113">
        <v>112</v>
      </c>
      <c r="B113" s="2">
        <v>40548</v>
      </c>
      <c r="C113">
        <v>1</v>
      </c>
      <c r="D113">
        <v>1</v>
      </c>
      <c r="E113">
        <v>20</v>
      </c>
      <c r="F113" t="b">
        <v>0</v>
      </c>
      <c r="G113">
        <v>3</v>
      </c>
      <c r="H113">
        <v>1</v>
      </c>
      <c r="I113">
        <v>0.22</v>
      </c>
      <c r="J113">
        <v>0.2273</v>
      </c>
      <c r="K113">
        <v>0.47</v>
      </c>
      <c r="L113">
        <v>0.16420000000000001</v>
      </c>
      <c r="M113">
        <v>7</v>
      </c>
      <c r="N113">
        <v>82</v>
      </c>
      <c r="O113">
        <v>89</v>
      </c>
    </row>
    <row r="114" spans="1:15" x14ac:dyDescent="0.25">
      <c r="A114">
        <v>113</v>
      </c>
      <c r="B114" s="2">
        <v>40548</v>
      </c>
      <c r="C114">
        <v>1</v>
      </c>
      <c r="D114">
        <v>1</v>
      </c>
      <c r="E114">
        <v>21</v>
      </c>
      <c r="F114" t="b">
        <v>0</v>
      </c>
      <c r="G114">
        <v>3</v>
      </c>
      <c r="H114">
        <v>1</v>
      </c>
      <c r="I114">
        <v>0.2</v>
      </c>
      <c r="J114">
        <v>0.19700000000000001</v>
      </c>
      <c r="K114">
        <v>0.51</v>
      </c>
      <c r="L114">
        <v>0.19400000000000001</v>
      </c>
      <c r="M114">
        <v>3</v>
      </c>
      <c r="N114">
        <v>40</v>
      </c>
      <c r="O114">
        <v>43</v>
      </c>
    </row>
    <row r="115" spans="1:15" x14ac:dyDescent="0.25">
      <c r="A115">
        <v>114</v>
      </c>
      <c r="B115" s="2">
        <v>40548</v>
      </c>
      <c r="C115">
        <v>1</v>
      </c>
      <c r="D115">
        <v>1</v>
      </c>
      <c r="E115">
        <v>22</v>
      </c>
      <c r="F115" t="b">
        <v>0</v>
      </c>
      <c r="G115">
        <v>3</v>
      </c>
      <c r="H115">
        <v>1</v>
      </c>
      <c r="I115">
        <v>0.18</v>
      </c>
      <c r="J115">
        <v>0.19700000000000001</v>
      </c>
      <c r="K115">
        <v>0.55000000000000004</v>
      </c>
      <c r="L115">
        <v>0.1343</v>
      </c>
      <c r="M115">
        <v>1</v>
      </c>
      <c r="N115">
        <v>41</v>
      </c>
      <c r="O115">
        <v>42</v>
      </c>
    </row>
    <row r="116" spans="1:15" x14ac:dyDescent="0.25">
      <c r="A116">
        <v>115</v>
      </c>
      <c r="B116" s="2">
        <v>40548</v>
      </c>
      <c r="C116">
        <v>1</v>
      </c>
      <c r="D116">
        <v>1</v>
      </c>
      <c r="E116">
        <v>23</v>
      </c>
      <c r="F116" t="b">
        <v>0</v>
      </c>
      <c r="G116">
        <v>3</v>
      </c>
      <c r="H116">
        <v>1</v>
      </c>
      <c r="I116">
        <v>0.2</v>
      </c>
      <c r="J116">
        <v>0.2576</v>
      </c>
      <c r="K116">
        <v>0.47</v>
      </c>
      <c r="L116">
        <v>0.36380000000000001</v>
      </c>
      <c r="M116">
        <v>1</v>
      </c>
      <c r="N116">
        <v>18</v>
      </c>
      <c r="O116">
        <v>19</v>
      </c>
    </row>
    <row r="117" spans="1:15" x14ac:dyDescent="0.25">
      <c r="A117">
        <v>116</v>
      </c>
      <c r="B117" s="2">
        <v>40549</v>
      </c>
      <c r="C117">
        <v>1</v>
      </c>
      <c r="D117">
        <v>1</v>
      </c>
      <c r="E117">
        <v>0</v>
      </c>
      <c r="F117" t="b">
        <v>0</v>
      </c>
      <c r="G117">
        <v>4</v>
      </c>
      <c r="H117">
        <v>1</v>
      </c>
      <c r="I117">
        <v>0.18</v>
      </c>
      <c r="J117">
        <v>0.2424</v>
      </c>
      <c r="K117">
        <v>0.55000000000000004</v>
      </c>
      <c r="L117">
        <v>0.3962</v>
      </c>
      <c r="M117">
        <v>0</v>
      </c>
      <c r="N117">
        <v>11</v>
      </c>
      <c r="O117">
        <v>11</v>
      </c>
    </row>
    <row r="118" spans="1:15" x14ac:dyDescent="0.25">
      <c r="A118">
        <v>117</v>
      </c>
      <c r="B118" s="2">
        <v>40549</v>
      </c>
      <c r="C118">
        <v>1</v>
      </c>
      <c r="D118">
        <v>1</v>
      </c>
      <c r="E118">
        <v>1</v>
      </c>
      <c r="F118" t="b">
        <v>0</v>
      </c>
      <c r="G118">
        <v>4</v>
      </c>
      <c r="H118">
        <v>1</v>
      </c>
      <c r="I118">
        <v>0.16</v>
      </c>
      <c r="J118">
        <v>0.2273</v>
      </c>
      <c r="K118">
        <v>0.64</v>
      </c>
      <c r="L118">
        <v>0.43364999999999998</v>
      </c>
      <c r="M118">
        <v>0</v>
      </c>
      <c r="N118">
        <v>4</v>
      </c>
      <c r="O118">
        <v>4</v>
      </c>
    </row>
    <row r="119" spans="1:15" x14ac:dyDescent="0.25">
      <c r="A119">
        <v>118</v>
      </c>
      <c r="B119" s="2">
        <v>40549</v>
      </c>
      <c r="C119">
        <v>1</v>
      </c>
      <c r="D119">
        <v>1</v>
      </c>
      <c r="E119">
        <v>2</v>
      </c>
      <c r="F119" t="b">
        <v>0</v>
      </c>
      <c r="G119">
        <v>4</v>
      </c>
      <c r="H119">
        <v>1</v>
      </c>
      <c r="I119">
        <v>0.16</v>
      </c>
      <c r="J119">
        <v>0.2273</v>
      </c>
      <c r="K119">
        <v>0.64</v>
      </c>
      <c r="L119">
        <v>0.43364999999999998</v>
      </c>
      <c r="M119">
        <v>0</v>
      </c>
      <c r="N119">
        <v>2</v>
      </c>
      <c r="O119">
        <v>2</v>
      </c>
    </row>
    <row r="120" spans="1:15" x14ac:dyDescent="0.25">
      <c r="A120">
        <v>119</v>
      </c>
      <c r="B120" s="2">
        <v>40549</v>
      </c>
      <c r="C120">
        <v>1</v>
      </c>
      <c r="D120">
        <v>1</v>
      </c>
      <c r="E120">
        <v>4</v>
      </c>
      <c r="F120" t="b">
        <v>0</v>
      </c>
      <c r="G120">
        <v>4</v>
      </c>
      <c r="H120">
        <v>2</v>
      </c>
      <c r="I120">
        <v>0.16</v>
      </c>
      <c r="J120">
        <v>0.19700000000000001</v>
      </c>
      <c r="K120">
        <v>0.64</v>
      </c>
      <c r="L120">
        <v>8.9599999999999999E-2</v>
      </c>
      <c r="M120">
        <v>0</v>
      </c>
      <c r="N120">
        <v>1</v>
      </c>
      <c r="O120">
        <v>1</v>
      </c>
    </row>
    <row r="121" spans="1:15" x14ac:dyDescent="0.25">
      <c r="A121">
        <v>120</v>
      </c>
      <c r="B121" s="2">
        <v>40549</v>
      </c>
      <c r="C121">
        <v>1</v>
      </c>
      <c r="D121">
        <v>1</v>
      </c>
      <c r="E121">
        <v>5</v>
      </c>
      <c r="F121" t="b">
        <v>0</v>
      </c>
      <c r="G121">
        <v>4</v>
      </c>
      <c r="H121">
        <v>2</v>
      </c>
      <c r="I121">
        <v>0.14000000000000001</v>
      </c>
      <c r="J121">
        <v>0.18179999999999999</v>
      </c>
      <c r="K121">
        <v>0.69</v>
      </c>
      <c r="L121">
        <v>8.9599999999999999E-2</v>
      </c>
      <c r="M121">
        <v>0</v>
      </c>
      <c r="N121">
        <v>4</v>
      </c>
      <c r="O121">
        <v>4</v>
      </c>
    </row>
    <row r="122" spans="1:15" x14ac:dyDescent="0.25">
      <c r="A122">
        <v>121</v>
      </c>
      <c r="B122" s="2">
        <v>40549</v>
      </c>
      <c r="C122">
        <v>1</v>
      </c>
      <c r="D122">
        <v>1</v>
      </c>
      <c r="E122">
        <v>6</v>
      </c>
      <c r="F122" t="b">
        <v>0</v>
      </c>
      <c r="G122">
        <v>4</v>
      </c>
      <c r="H122">
        <v>2</v>
      </c>
      <c r="I122">
        <v>0.14000000000000001</v>
      </c>
      <c r="J122">
        <v>0.16669999999999999</v>
      </c>
      <c r="K122">
        <v>0.63</v>
      </c>
      <c r="L122">
        <v>0.1045</v>
      </c>
      <c r="M122">
        <v>0</v>
      </c>
      <c r="N122">
        <v>36</v>
      </c>
      <c r="O122">
        <v>36</v>
      </c>
    </row>
    <row r="123" spans="1:15" x14ac:dyDescent="0.25">
      <c r="A123">
        <v>122</v>
      </c>
      <c r="B123" s="2">
        <v>40549</v>
      </c>
      <c r="C123">
        <v>1</v>
      </c>
      <c r="D123">
        <v>1</v>
      </c>
      <c r="E123">
        <v>7</v>
      </c>
      <c r="F123" t="b">
        <v>0</v>
      </c>
      <c r="G123">
        <v>4</v>
      </c>
      <c r="H123">
        <v>2</v>
      </c>
      <c r="I123">
        <v>0.16</v>
      </c>
      <c r="J123">
        <v>0.2273</v>
      </c>
      <c r="K123">
        <v>0.59</v>
      </c>
      <c r="L123">
        <v>0.40864999999999996</v>
      </c>
      <c r="M123">
        <v>0</v>
      </c>
      <c r="N123">
        <v>95</v>
      </c>
      <c r="O123">
        <v>95</v>
      </c>
    </row>
    <row r="124" spans="1:15" x14ac:dyDescent="0.25">
      <c r="A124">
        <v>123</v>
      </c>
      <c r="B124" s="2">
        <v>40549</v>
      </c>
      <c r="C124">
        <v>1</v>
      </c>
      <c r="D124">
        <v>1</v>
      </c>
      <c r="E124">
        <v>8</v>
      </c>
      <c r="F124" t="b">
        <v>0</v>
      </c>
      <c r="G124">
        <v>4</v>
      </c>
      <c r="H124">
        <v>1</v>
      </c>
      <c r="I124">
        <v>0.16</v>
      </c>
      <c r="J124">
        <v>0.2273</v>
      </c>
      <c r="K124">
        <v>0.59</v>
      </c>
      <c r="L124">
        <v>0.40864999999999996</v>
      </c>
      <c r="M124">
        <v>3</v>
      </c>
      <c r="N124">
        <v>216</v>
      </c>
      <c r="O124">
        <v>219</v>
      </c>
    </row>
    <row r="125" spans="1:15" x14ac:dyDescent="0.25">
      <c r="A125">
        <v>124</v>
      </c>
      <c r="B125" s="2">
        <v>40549</v>
      </c>
      <c r="C125">
        <v>1</v>
      </c>
      <c r="D125">
        <v>1</v>
      </c>
      <c r="E125">
        <v>9</v>
      </c>
      <c r="F125" t="b">
        <v>0</v>
      </c>
      <c r="G125">
        <v>4</v>
      </c>
      <c r="H125">
        <v>2</v>
      </c>
      <c r="I125">
        <v>0.18</v>
      </c>
      <c r="J125">
        <v>0.2424</v>
      </c>
      <c r="K125">
        <v>0.51</v>
      </c>
      <c r="L125">
        <v>0.37619999999999998</v>
      </c>
      <c r="M125">
        <v>6</v>
      </c>
      <c r="N125">
        <v>116</v>
      </c>
      <c r="O125">
        <v>122</v>
      </c>
    </row>
    <row r="126" spans="1:15" x14ac:dyDescent="0.25">
      <c r="A126">
        <v>125</v>
      </c>
      <c r="B126" s="2">
        <v>40549</v>
      </c>
      <c r="C126">
        <v>1</v>
      </c>
      <c r="D126">
        <v>1</v>
      </c>
      <c r="E126">
        <v>10</v>
      </c>
      <c r="F126" t="b">
        <v>0</v>
      </c>
      <c r="G126">
        <v>4</v>
      </c>
      <c r="H126">
        <v>1</v>
      </c>
      <c r="I126">
        <v>0.2</v>
      </c>
      <c r="J126">
        <v>0.2576</v>
      </c>
      <c r="K126">
        <v>0.47</v>
      </c>
      <c r="L126">
        <v>0.36380000000000001</v>
      </c>
      <c r="M126">
        <v>3</v>
      </c>
      <c r="N126">
        <v>42</v>
      </c>
      <c r="O126">
        <v>45</v>
      </c>
    </row>
    <row r="127" spans="1:15" x14ac:dyDescent="0.25">
      <c r="A127">
        <v>126</v>
      </c>
      <c r="B127" s="2">
        <v>40549</v>
      </c>
      <c r="C127">
        <v>1</v>
      </c>
      <c r="D127">
        <v>1</v>
      </c>
      <c r="E127">
        <v>11</v>
      </c>
      <c r="F127" t="b">
        <v>0</v>
      </c>
      <c r="G127">
        <v>4</v>
      </c>
      <c r="H127">
        <v>1</v>
      </c>
      <c r="I127">
        <v>0.22</v>
      </c>
      <c r="J127">
        <v>0.2576</v>
      </c>
      <c r="K127">
        <v>0.44</v>
      </c>
      <c r="L127">
        <v>8.9599999999999999E-2</v>
      </c>
      <c r="M127">
        <v>2</v>
      </c>
      <c r="N127">
        <v>57</v>
      </c>
      <c r="O127">
        <v>59</v>
      </c>
    </row>
    <row r="128" spans="1:15" x14ac:dyDescent="0.25">
      <c r="A128">
        <v>127</v>
      </c>
      <c r="B128" s="2">
        <v>40549</v>
      </c>
      <c r="C128">
        <v>1</v>
      </c>
      <c r="D128">
        <v>1</v>
      </c>
      <c r="E128">
        <v>12</v>
      </c>
      <c r="F128" t="b">
        <v>0</v>
      </c>
      <c r="G128">
        <v>4</v>
      </c>
      <c r="H128">
        <v>1</v>
      </c>
      <c r="I128">
        <v>0.26</v>
      </c>
      <c r="J128">
        <v>0.28789999999999999</v>
      </c>
      <c r="K128">
        <v>0.35</v>
      </c>
      <c r="L128">
        <v>0.31894999999999996</v>
      </c>
      <c r="M128">
        <v>6</v>
      </c>
      <c r="N128">
        <v>78</v>
      </c>
      <c r="O128">
        <v>84</v>
      </c>
    </row>
    <row r="129" spans="1:15" x14ac:dyDescent="0.25">
      <c r="A129">
        <v>128</v>
      </c>
      <c r="B129" s="2">
        <v>40549</v>
      </c>
      <c r="C129">
        <v>1</v>
      </c>
      <c r="D129">
        <v>1</v>
      </c>
      <c r="E129">
        <v>13</v>
      </c>
      <c r="F129" t="b">
        <v>0</v>
      </c>
      <c r="G129">
        <v>4</v>
      </c>
      <c r="H129">
        <v>1</v>
      </c>
      <c r="I129">
        <v>0.26</v>
      </c>
      <c r="J129">
        <v>0.2727</v>
      </c>
      <c r="K129">
        <v>0.35</v>
      </c>
      <c r="L129">
        <v>0.1045</v>
      </c>
      <c r="M129">
        <v>12</v>
      </c>
      <c r="N129">
        <v>55</v>
      </c>
      <c r="O129">
        <v>67</v>
      </c>
    </row>
    <row r="130" spans="1:15" x14ac:dyDescent="0.25">
      <c r="A130">
        <v>129</v>
      </c>
      <c r="B130" s="2">
        <v>40549</v>
      </c>
      <c r="C130">
        <v>1</v>
      </c>
      <c r="D130">
        <v>1</v>
      </c>
      <c r="E130">
        <v>14</v>
      </c>
      <c r="F130" t="b">
        <v>0</v>
      </c>
      <c r="G130">
        <v>4</v>
      </c>
      <c r="H130">
        <v>1</v>
      </c>
      <c r="I130">
        <v>0.28000000000000003</v>
      </c>
      <c r="J130">
        <v>0.2727</v>
      </c>
      <c r="K130">
        <v>0.36</v>
      </c>
      <c r="L130">
        <v>0.16420000000000001</v>
      </c>
      <c r="M130">
        <v>11</v>
      </c>
      <c r="N130">
        <v>59</v>
      </c>
      <c r="O130">
        <v>70</v>
      </c>
    </row>
    <row r="131" spans="1:15" x14ac:dyDescent="0.25">
      <c r="A131">
        <v>130</v>
      </c>
      <c r="B131" s="2">
        <v>40549</v>
      </c>
      <c r="C131">
        <v>1</v>
      </c>
      <c r="D131">
        <v>1</v>
      </c>
      <c r="E131">
        <v>15</v>
      </c>
      <c r="F131" t="b">
        <v>0</v>
      </c>
      <c r="G131">
        <v>4</v>
      </c>
      <c r="H131">
        <v>1</v>
      </c>
      <c r="I131">
        <v>0.28000000000000003</v>
      </c>
      <c r="J131">
        <v>0.2727</v>
      </c>
      <c r="K131">
        <v>0.36</v>
      </c>
      <c r="L131">
        <v>0.31635000000000002</v>
      </c>
      <c r="M131">
        <v>8</v>
      </c>
      <c r="N131">
        <v>54</v>
      </c>
      <c r="O131">
        <v>62</v>
      </c>
    </row>
    <row r="132" spans="1:15" x14ac:dyDescent="0.25">
      <c r="A132">
        <v>131</v>
      </c>
      <c r="B132" s="2">
        <v>40549</v>
      </c>
      <c r="C132">
        <v>1</v>
      </c>
      <c r="D132">
        <v>1</v>
      </c>
      <c r="E132">
        <v>16</v>
      </c>
      <c r="F132" t="b">
        <v>0</v>
      </c>
      <c r="G132">
        <v>4</v>
      </c>
      <c r="H132">
        <v>1</v>
      </c>
      <c r="I132">
        <v>0.26</v>
      </c>
      <c r="J132">
        <v>0.2576</v>
      </c>
      <c r="K132">
        <v>0.38</v>
      </c>
      <c r="L132">
        <v>0.16420000000000001</v>
      </c>
      <c r="M132">
        <v>12</v>
      </c>
      <c r="N132">
        <v>74</v>
      </c>
      <c r="O132">
        <v>86</v>
      </c>
    </row>
    <row r="133" spans="1:15" x14ac:dyDescent="0.25">
      <c r="A133">
        <v>132</v>
      </c>
      <c r="B133" s="2">
        <v>40549</v>
      </c>
      <c r="C133">
        <v>1</v>
      </c>
      <c r="D133">
        <v>1</v>
      </c>
      <c r="E133">
        <v>17</v>
      </c>
      <c r="F133" t="b">
        <v>0</v>
      </c>
      <c r="G133">
        <v>4</v>
      </c>
      <c r="H133">
        <v>1</v>
      </c>
      <c r="I133">
        <v>0.22</v>
      </c>
      <c r="J133">
        <v>0.2273</v>
      </c>
      <c r="K133">
        <v>0.51</v>
      </c>
      <c r="L133">
        <v>0.16420000000000001</v>
      </c>
      <c r="M133">
        <v>9</v>
      </c>
      <c r="N133">
        <v>163</v>
      </c>
      <c r="O133">
        <v>172</v>
      </c>
    </row>
    <row r="134" spans="1:15" x14ac:dyDescent="0.25">
      <c r="A134">
        <v>133</v>
      </c>
      <c r="B134" s="2">
        <v>40549</v>
      </c>
      <c r="C134">
        <v>1</v>
      </c>
      <c r="D134">
        <v>1</v>
      </c>
      <c r="E134">
        <v>18</v>
      </c>
      <c r="F134" t="b">
        <v>0</v>
      </c>
      <c r="G134">
        <v>4</v>
      </c>
      <c r="H134">
        <v>1</v>
      </c>
      <c r="I134">
        <v>0.22</v>
      </c>
      <c r="J134">
        <v>0.2273</v>
      </c>
      <c r="K134">
        <v>0.51</v>
      </c>
      <c r="L134">
        <v>0.1343</v>
      </c>
      <c r="M134">
        <v>5</v>
      </c>
      <c r="N134">
        <v>158</v>
      </c>
      <c r="O134">
        <v>163</v>
      </c>
    </row>
    <row r="135" spans="1:15" x14ac:dyDescent="0.25">
      <c r="A135">
        <v>134</v>
      </c>
      <c r="B135" s="2">
        <v>40549</v>
      </c>
      <c r="C135">
        <v>1</v>
      </c>
      <c r="D135">
        <v>1</v>
      </c>
      <c r="E135">
        <v>19</v>
      </c>
      <c r="F135" t="b">
        <v>0</v>
      </c>
      <c r="G135">
        <v>4</v>
      </c>
      <c r="H135">
        <v>1</v>
      </c>
      <c r="I135">
        <v>0.22</v>
      </c>
      <c r="J135">
        <v>0.2576</v>
      </c>
      <c r="K135">
        <v>0.55000000000000004</v>
      </c>
      <c r="L135">
        <v>8.9599999999999999E-2</v>
      </c>
      <c r="M135">
        <v>3</v>
      </c>
      <c r="N135">
        <v>109</v>
      </c>
      <c r="O135">
        <v>112</v>
      </c>
    </row>
    <row r="136" spans="1:15" x14ac:dyDescent="0.25">
      <c r="A136">
        <v>135</v>
      </c>
      <c r="B136" s="2">
        <v>40549</v>
      </c>
      <c r="C136">
        <v>1</v>
      </c>
      <c r="D136">
        <v>1</v>
      </c>
      <c r="E136">
        <v>20</v>
      </c>
      <c r="F136" t="b">
        <v>0</v>
      </c>
      <c r="G136">
        <v>4</v>
      </c>
      <c r="H136">
        <v>1</v>
      </c>
      <c r="I136">
        <v>0.2</v>
      </c>
      <c r="J136">
        <v>0.21210000000000001</v>
      </c>
      <c r="K136">
        <v>0.51</v>
      </c>
      <c r="L136">
        <v>0.16420000000000001</v>
      </c>
      <c r="M136">
        <v>3</v>
      </c>
      <c r="N136">
        <v>66</v>
      </c>
      <c r="O136">
        <v>69</v>
      </c>
    </row>
    <row r="137" spans="1:15" x14ac:dyDescent="0.25">
      <c r="A137">
        <v>136</v>
      </c>
      <c r="B137" s="2">
        <v>40549</v>
      </c>
      <c r="C137">
        <v>1</v>
      </c>
      <c r="D137">
        <v>1</v>
      </c>
      <c r="E137">
        <v>21</v>
      </c>
      <c r="F137" t="b">
        <v>0</v>
      </c>
      <c r="G137">
        <v>4</v>
      </c>
      <c r="H137">
        <v>2</v>
      </c>
      <c r="I137">
        <v>0.22</v>
      </c>
      <c r="J137">
        <v>0.21210000000000001</v>
      </c>
      <c r="K137">
        <v>0.55000000000000004</v>
      </c>
      <c r="L137">
        <v>0.22389999999999999</v>
      </c>
      <c r="M137">
        <v>0</v>
      </c>
      <c r="N137">
        <v>48</v>
      </c>
      <c r="O137">
        <v>48</v>
      </c>
    </row>
    <row r="138" spans="1:15" x14ac:dyDescent="0.25">
      <c r="A138">
        <v>137</v>
      </c>
      <c r="B138" s="2">
        <v>40549</v>
      </c>
      <c r="C138">
        <v>1</v>
      </c>
      <c r="D138">
        <v>1</v>
      </c>
      <c r="E138">
        <v>22</v>
      </c>
      <c r="F138" t="b">
        <v>0</v>
      </c>
      <c r="G138">
        <v>4</v>
      </c>
      <c r="H138">
        <v>2</v>
      </c>
      <c r="I138">
        <v>0.22</v>
      </c>
      <c r="J138">
        <v>0.21210000000000001</v>
      </c>
      <c r="K138">
        <v>0.51</v>
      </c>
      <c r="L138">
        <v>0.28360000000000002</v>
      </c>
      <c r="M138">
        <v>1</v>
      </c>
      <c r="N138">
        <v>51</v>
      </c>
      <c r="O138">
        <v>52</v>
      </c>
    </row>
    <row r="139" spans="1:15" x14ac:dyDescent="0.25">
      <c r="A139">
        <v>138</v>
      </c>
      <c r="B139" s="2">
        <v>40549</v>
      </c>
      <c r="C139">
        <v>1</v>
      </c>
      <c r="D139">
        <v>1</v>
      </c>
      <c r="E139">
        <v>23</v>
      </c>
      <c r="F139" t="b">
        <v>0</v>
      </c>
      <c r="G139">
        <v>4</v>
      </c>
      <c r="H139">
        <v>2</v>
      </c>
      <c r="I139">
        <v>0.2</v>
      </c>
      <c r="J139">
        <v>0.19700000000000001</v>
      </c>
      <c r="K139">
        <v>0.59</v>
      </c>
      <c r="L139">
        <v>0.19400000000000001</v>
      </c>
      <c r="M139">
        <v>4</v>
      </c>
      <c r="N139">
        <v>19</v>
      </c>
      <c r="O139">
        <v>23</v>
      </c>
    </row>
    <row r="140" spans="1:15" x14ac:dyDescent="0.25">
      <c r="A140">
        <v>139</v>
      </c>
      <c r="B140" s="2">
        <v>40550</v>
      </c>
      <c r="C140">
        <v>1</v>
      </c>
      <c r="D140">
        <v>1</v>
      </c>
      <c r="E140">
        <v>0</v>
      </c>
      <c r="F140" t="b">
        <v>0</v>
      </c>
      <c r="G140">
        <v>5</v>
      </c>
      <c r="H140">
        <v>2</v>
      </c>
      <c r="I140">
        <v>0.2</v>
      </c>
      <c r="J140">
        <v>0.19700000000000001</v>
      </c>
      <c r="K140">
        <v>0.64</v>
      </c>
      <c r="L140">
        <v>0.19400000000000001</v>
      </c>
      <c r="M140">
        <v>4</v>
      </c>
      <c r="N140">
        <v>13</v>
      </c>
      <c r="O140">
        <v>17</v>
      </c>
    </row>
    <row r="141" spans="1:15" x14ac:dyDescent="0.25">
      <c r="A141">
        <v>140</v>
      </c>
      <c r="B141" s="2">
        <v>40550</v>
      </c>
      <c r="C141">
        <v>1</v>
      </c>
      <c r="D141">
        <v>1</v>
      </c>
      <c r="E141">
        <v>1</v>
      </c>
      <c r="F141" t="b">
        <v>0</v>
      </c>
      <c r="G141">
        <v>5</v>
      </c>
      <c r="H141">
        <v>2</v>
      </c>
      <c r="I141">
        <v>0.2</v>
      </c>
      <c r="J141">
        <v>0.19700000000000001</v>
      </c>
      <c r="K141">
        <v>0.69</v>
      </c>
      <c r="L141">
        <v>0.22389999999999999</v>
      </c>
      <c r="M141">
        <v>2</v>
      </c>
      <c r="N141">
        <v>5</v>
      </c>
      <c r="O141">
        <v>7</v>
      </c>
    </row>
    <row r="142" spans="1:15" x14ac:dyDescent="0.25">
      <c r="A142">
        <v>141</v>
      </c>
      <c r="B142" s="2">
        <v>40550</v>
      </c>
      <c r="C142">
        <v>1</v>
      </c>
      <c r="D142">
        <v>1</v>
      </c>
      <c r="E142">
        <v>2</v>
      </c>
      <c r="F142" t="b">
        <v>0</v>
      </c>
      <c r="G142">
        <v>5</v>
      </c>
      <c r="H142">
        <v>2</v>
      </c>
      <c r="I142">
        <v>0.2</v>
      </c>
      <c r="J142">
        <v>0.19700000000000001</v>
      </c>
      <c r="K142">
        <v>0.69</v>
      </c>
      <c r="L142">
        <v>0.22389999999999999</v>
      </c>
      <c r="M142">
        <v>0</v>
      </c>
      <c r="N142">
        <v>1</v>
      </c>
      <c r="O142">
        <v>1</v>
      </c>
    </row>
    <row r="143" spans="1:15" x14ac:dyDescent="0.25">
      <c r="A143">
        <v>142</v>
      </c>
      <c r="B143" s="2">
        <v>40550</v>
      </c>
      <c r="C143">
        <v>1</v>
      </c>
      <c r="D143">
        <v>1</v>
      </c>
      <c r="E143">
        <v>4</v>
      </c>
      <c r="F143" t="b">
        <v>0</v>
      </c>
      <c r="G143">
        <v>5</v>
      </c>
      <c r="H143">
        <v>2</v>
      </c>
      <c r="I143">
        <v>0.2</v>
      </c>
      <c r="J143">
        <v>0.21210000000000001</v>
      </c>
      <c r="K143">
        <v>0.69</v>
      </c>
      <c r="L143">
        <v>0.1343</v>
      </c>
      <c r="M143">
        <v>0</v>
      </c>
      <c r="N143">
        <v>1</v>
      </c>
      <c r="O143">
        <v>1</v>
      </c>
    </row>
    <row r="144" spans="1:15" x14ac:dyDescent="0.25">
      <c r="A144">
        <v>143</v>
      </c>
      <c r="B144" s="2">
        <v>40550</v>
      </c>
      <c r="C144">
        <v>1</v>
      </c>
      <c r="D144">
        <v>1</v>
      </c>
      <c r="E144">
        <v>5</v>
      </c>
      <c r="F144" t="b">
        <v>0</v>
      </c>
      <c r="G144">
        <v>5</v>
      </c>
      <c r="H144">
        <v>3</v>
      </c>
      <c r="I144">
        <v>0.22</v>
      </c>
      <c r="J144">
        <v>0.2727</v>
      </c>
      <c r="K144">
        <v>0.55000000000000004</v>
      </c>
      <c r="L144">
        <v>0.41134999999999999</v>
      </c>
      <c r="M144">
        <v>0</v>
      </c>
      <c r="N144">
        <v>5</v>
      </c>
      <c r="O144">
        <v>5</v>
      </c>
    </row>
    <row r="145" spans="1:15" x14ac:dyDescent="0.25">
      <c r="A145">
        <v>144</v>
      </c>
      <c r="B145" s="2">
        <v>40550</v>
      </c>
      <c r="C145">
        <v>1</v>
      </c>
      <c r="D145">
        <v>1</v>
      </c>
      <c r="E145">
        <v>6</v>
      </c>
      <c r="F145" t="b">
        <v>0</v>
      </c>
      <c r="G145">
        <v>5</v>
      </c>
      <c r="H145">
        <v>2</v>
      </c>
      <c r="I145">
        <v>0.2</v>
      </c>
      <c r="J145">
        <v>0.2576</v>
      </c>
      <c r="K145">
        <v>0.69</v>
      </c>
      <c r="L145">
        <v>0.4738</v>
      </c>
      <c r="M145">
        <v>8</v>
      </c>
      <c r="N145">
        <v>26</v>
      </c>
      <c r="O145">
        <v>34</v>
      </c>
    </row>
    <row r="146" spans="1:15" x14ac:dyDescent="0.25">
      <c r="A146">
        <v>145</v>
      </c>
      <c r="B146" s="2">
        <v>40550</v>
      </c>
      <c r="C146">
        <v>1</v>
      </c>
      <c r="D146">
        <v>1</v>
      </c>
      <c r="E146">
        <v>7</v>
      </c>
      <c r="F146" t="b">
        <v>0</v>
      </c>
      <c r="G146">
        <v>5</v>
      </c>
      <c r="H146">
        <v>1</v>
      </c>
      <c r="I146">
        <v>0.2</v>
      </c>
      <c r="J146">
        <v>0.21210000000000001</v>
      </c>
      <c r="K146">
        <v>0.69</v>
      </c>
      <c r="L146">
        <v>0.1343</v>
      </c>
      <c r="M146">
        <v>8</v>
      </c>
      <c r="N146">
        <v>76</v>
      </c>
      <c r="O146">
        <v>84</v>
      </c>
    </row>
    <row r="147" spans="1:15" x14ac:dyDescent="0.25">
      <c r="A147">
        <v>146</v>
      </c>
      <c r="B147" s="2">
        <v>40550</v>
      </c>
      <c r="C147">
        <v>1</v>
      </c>
      <c r="D147">
        <v>1</v>
      </c>
      <c r="E147">
        <v>8</v>
      </c>
      <c r="F147" t="b">
        <v>0</v>
      </c>
      <c r="G147">
        <v>5</v>
      </c>
      <c r="H147">
        <v>1</v>
      </c>
      <c r="I147">
        <v>0.2</v>
      </c>
      <c r="J147">
        <v>0.19700000000000001</v>
      </c>
      <c r="K147">
        <v>0.51</v>
      </c>
      <c r="L147">
        <v>0.25369999999999998</v>
      </c>
      <c r="M147">
        <v>20</v>
      </c>
      <c r="N147">
        <v>190</v>
      </c>
      <c r="O147">
        <v>210</v>
      </c>
    </row>
    <row r="148" spans="1:15" x14ac:dyDescent="0.25">
      <c r="A148">
        <v>147</v>
      </c>
      <c r="B148" s="2">
        <v>40550</v>
      </c>
      <c r="C148">
        <v>1</v>
      </c>
      <c r="D148">
        <v>1</v>
      </c>
      <c r="E148">
        <v>9</v>
      </c>
      <c r="F148" t="b">
        <v>0</v>
      </c>
      <c r="G148">
        <v>5</v>
      </c>
      <c r="H148">
        <v>1</v>
      </c>
      <c r="I148">
        <v>0.2</v>
      </c>
      <c r="J148">
        <v>0.18179999999999999</v>
      </c>
      <c r="K148">
        <v>0.47</v>
      </c>
      <c r="L148">
        <v>0.29849999999999999</v>
      </c>
      <c r="M148">
        <v>9</v>
      </c>
      <c r="N148">
        <v>125</v>
      </c>
      <c r="O148">
        <v>134</v>
      </c>
    </row>
    <row r="149" spans="1:15" x14ac:dyDescent="0.25">
      <c r="A149">
        <v>148</v>
      </c>
      <c r="B149" s="2">
        <v>40550</v>
      </c>
      <c r="C149">
        <v>1</v>
      </c>
      <c r="D149">
        <v>1</v>
      </c>
      <c r="E149">
        <v>10</v>
      </c>
      <c r="F149" t="b">
        <v>0</v>
      </c>
      <c r="G149">
        <v>5</v>
      </c>
      <c r="H149">
        <v>1</v>
      </c>
      <c r="I149">
        <v>0.22</v>
      </c>
      <c r="J149">
        <v>0.19700000000000001</v>
      </c>
      <c r="K149">
        <v>0.37</v>
      </c>
      <c r="L149">
        <v>0.32840000000000003</v>
      </c>
      <c r="M149">
        <v>16</v>
      </c>
      <c r="N149">
        <v>47</v>
      </c>
      <c r="O149">
        <v>63</v>
      </c>
    </row>
    <row r="150" spans="1:15" x14ac:dyDescent="0.25">
      <c r="A150">
        <v>149</v>
      </c>
      <c r="B150" s="2">
        <v>40550</v>
      </c>
      <c r="C150">
        <v>1</v>
      </c>
      <c r="D150">
        <v>1</v>
      </c>
      <c r="E150">
        <v>11</v>
      </c>
      <c r="F150" t="b">
        <v>0</v>
      </c>
      <c r="G150">
        <v>5</v>
      </c>
      <c r="H150">
        <v>2</v>
      </c>
      <c r="I150">
        <v>0.2</v>
      </c>
      <c r="J150">
        <v>0.19700000000000001</v>
      </c>
      <c r="K150">
        <v>0.4</v>
      </c>
      <c r="L150">
        <v>0.22389999999999999</v>
      </c>
      <c r="M150">
        <v>19</v>
      </c>
      <c r="N150">
        <v>48</v>
      </c>
      <c r="O150">
        <v>67</v>
      </c>
    </row>
    <row r="151" spans="1:15" x14ac:dyDescent="0.25">
      <c r="A151">
        <v>150</v>
      </c>
      <c r="B151" s="2">
        <v>40550</v>
      </c>
      <c r="C151">
        <v>1</v>
      </c>
      <c r="D151">
        <v>1</v>
      </c>
      <c r="E151">
        <v>12</v>
      </c>
      <c r="F151" t="b">
        <v>0</v>
      </c>
      <c r="G151">
        <v>5</v>
      </c>
      <c r="H151">
        <v>2</v>
      </c>
      <c r="I151">
        <v>0.2</v>
      </c>
      <c r="J151">
        <v>0.19700000000000001</v>
      </c>
      <c r="K151">
        <v>0.37</v>
      </c>
      <c r="L151">
        <v>0.25369999999999998</v>
      </c>
      <c r="M151">
        <v>9</v>
      </c>
      <c r="N151">
        <v>50</v>
      </c>
      <c r="O151">
        <v>59</v>
      </c>
    </row>
    <row r="152" spans="1:15" x14ac:dyDescent="0.25">
      <c r="A152">
        <v>151</v>
      </c>
      <c r="B152" s="2">
        <v>40550</v>
      </c>
      <c r="C152">
        <v>1</v>
      </c>
      <c r="D152">
        <v>1</v>
      </c>
      <c r="E152">
        <v>13</v>
      </c>
      <c r="F152" t="b">
        <v>0</v>
      </c>
      <c r="G152">
        <v>5</v>
      </c>
      <c r="H152">
        <v>2</v>
      </c>
      <c r="I152">
        <v>0.2</v>
      </c>
      <c r="J152">
        <v>0.18179999999999999</v>
      </c>
      <c r="K152">
        <v>0.37</v>
      </c>
      <c r="L152">
        <v>0.28360000000000002</v>
      </c>
      <c r="M152">
        <v>9</v>
      </c>
      <c r="N152">
        <v>64</v>
      </c>
      <c r="O152">
        <v>73</v>
      </c>
    </row>
    <row r="153" spans="1:15" x14ac:dyDescent="0.25">
      <c r="A153">
        <v>152</v>
      </c>
      <c r="B153" s="2">
        <v>40550</v>
      </c>
      <c r="C153">
        <v>1</v>
      </c>
      <c r="D153">
        <v>1</v>
      </c>
      <c r="E153">
        <v>14</v>
      </c>
      <c r="F153" t="b">
        <v>0</v>
      </c>
      <c r="G153">
        <v>5</v>
      </c>
      <c r="H153">
        <v>2</v>
      </c>
      <c r="I153">
        <v>0.2</v>
      </c>
      <c r="J153">
        <v>0.19700000000000001</v>
      </c>
      <c r="K153">
        <v>0.4</v>
      </c>
      <c r="L153">
        <v>0.25369999999999998</v>
      </c>
      <c r="M153">
        <v>7</v>
      </c>
      <c r="N153">
        <v>43</v>
      </c>
      <c r="O153">
        <v>50</v>
      </c>
    </row>
    <row r="154" spans="1:15" x14ac:dyDescent="0.25">
      <c r="A154">
        <v>153</v>
      </c>
      <c r="B154" s="2">
        <v>40550</v>
      </c>
      <c r="C154">
        <v>1</v>
      </c>
      <c r="D154">
        <v>1</v>
      </c>
      <c r="E154">
        <v>15</v>
      </c>
      <c r="F154" t="b">
        <v>0</v>
      </c>
      <c r="G154">
        <v>5</v>
      </c>
      <c r="H154">
        <v>2</v>
      </c>
      <c r="I154">
        <v>0.2</v>
      </c>
      <c r="J154">
        <v>0.21210000000000001</v>
      </c>
      <c r="K154">
        <v>0.37</v>
      </c>
      <c r="L154">
        <v>0.16420000000000001</v>
      </c>
      <c r="M154">
        <v>9</v>
      </c>
      <c r="N154">
        <v>63</v>
      </c>
      <c r="O154">
        <v>72</v>
      </c>
    </row>
    <row r="155" spans="1:15" x14ac:dyDescent="0.25">
      <c r="A155">
        <v>154</v>
      </c>
      <c r="B155" s="2">
        <v>40550</v>
      </c>
      <c r="C155">
        <v>1</v>
      </c>
      <c r="D155">
        <v>1</v>
      </c>
      <c r="E155">
        <v>16</v>
      </c>
      <c r="F155" t="b">
        <v>0</v>
      </c>
      <c r="G155">
        <v>5</v>
      </c>
      <c r="H155">
        <v>2</v>
      </c>
      <c r="I155">
        <v>0.2</v>
      </c>
      <c r="J155">
        <v>0.21210000000000001</v>
      </c>
      <c r="K155">
        <v>0.37</v>
      </c>
      <c r="L155">
        <v>0.16420000000000001</v>
      </c>
      <c r="M155">
        <v>5</v>
      </c>
      <c r="N155">
        <v>82</v>
      </c>
      <c r="O155">
        <v>87</v>
      </c>
    </row>
    <row r="156" spans="1:15" x14ac:dyDescent="0.25">
      <c r="A156">
        <v>155</v>
      </c>
      <c r="B156" s="2">
        <v>40550</v>
      </c>
      <c r="C156">
        <v>1</v>
      </c>
      <c r="D156">
        <v>1</v>
      </c>
      <c r="E156">
        <v>17</v>
      </c>
      <c r="F156" t="b">
        <v>0</v>
      </c>
      <c r="G156">
        <v>5</v>
      </c>
      <c r="H156">
        <v>2</v>
      </c>
      <c r="I156">
        <v>0.2</v>
      </c>
      <c r="J156">
        <v>0.2576</v>
      </c>
      <c r="K156">
        <v>0.37</v>
      </c>
      <c r="L156">
        <v>0.31379999999999997</v>
      </c>
      <c r="M156">
        <v>9</v>
      </c>
      <c r="N156">
        <v>178</v>
      </c>
      <c r="O156">
        <v>187</v>
      </c>
    </row>
    <row r="157" spans="1:15" x14ac:dyDescent="0.25">
      <c r="A157">
        <v>156</v>
      </c>
      <c r="B157" s="2">
        <v>40550</v>
      </c>
      <c r="C157">
        <v>1</v>
      </c>
      <c r="D157">
        <v>1</v>
      </c>
      <c r="E157">
        <v>18</v>
      </c>
      <c r="F157" t="b">
        <v>0</v>
      </c>
      <c r="G157">
        <v>5</v>
      </c>
      <c r="H157">
        <v>1</v>
      </c>
      <c r="I157">
        <v>0.2</v>
      </c>
      <c r="J157">
        <v>0.2273</v>
      </c>
      <c r="K157">
        <v>0.4</v>
      </c>
      <c r="L157">
        <v>8.9599999999999999E-2</v>
      </c>
      <c r="M157">
        <v>7</v>
      </c>
      <c r="N157">
        <v>116</v>
      </c>
      <c r="O157">
        <v>123</v>
      </c>
    </row>
    <row r="158" spans="1:15" x14ac:dyDescent="0.25">
      <c r="A158">
        <v>157</v>
      </c>
      <c r="B158" s="2">
        <v>40550</v>
      </c>
      <c r="C158">
        <v>1</v>
      </c>
      <c r="D158">
        <v>1</v>
      </c>
      <c r="E158">
        <v>19</v>
      </c>
      <c r="F158" t="b">
        <v>0</v>
      </c>
      <c r="G158">
        <v>5</v>
      </c>
      <c r="H158">
        <v>1</v>
      </c>
      <c r="I158">
        <v>0.16</v>
      </c>
      <c r="J158">
        <v>0.19700000000000001</v>
      </c>
      <c r="K158">
        <v>0.55000000000000004</v>
      </c>
      <c r="L158">
        <v>8.9599999999999999E-2</v>
      </c>
      <c r="M158">
        <v>3</v>
      </c>
      <c r="N158">
        <v>92</v>
      </c>
      <c r="O158">
        <v>95</v>
      </c>
    </row>
    <row r="159" spans="1:15" x14ac:dyDescent="0.25">
      <c r="A159">
        <v>158</v>
      </c>
      <c r="B159" s="2">
        <v>40550</v>
      </c>
      <c r="C159">
        <v>1</v>
      </c>
      <c r="D159">
        <v>1</v>
      </c>
      <c r="E159">
        <v>20</v>
      </c>
      <c r="F159" t="b">
        <v>0</v>
      </c>
      <c r="G159">
        <v>5</v>
      </c>
      <c r="H159">
        <v>1</v>
      </c>
      <c r="I159">
        <v>0.18</v>
      </c>
      <c r="J159">
        <v>0.21210000000000001</v>
      </c>
      <c r="K159">
        <v>0.47</v>
      </c>
      <c r="L159">
        <v>0.1045</v>
      </c>
      <c r="M159">
        <v>1</v>
      </c>
      <c r="N159">
        <v>50</v>
      </c>
      <c r="O159">
        <v>51</v>
      </c>
    </row>
    <row r="160" spans="1:15" x14ac:dyDescent="0.25">
      <c r="A160">
        <v>159</v>
      </c>
      <c r="B160" s="2">
        <v>40550</v>
      </c>
      <c r="C160">
        <v>1</v>
      </c>
      <c r="D160">
        <v>1</v>
      </c>
      <c r="E160">
        <v>21</v>
      </c>
      <c r="F160" t="b">
        <v>0</v>
      </c>
      <c r="G160">
        <v>5</v>
      </c>
      <c r="H160">
        <v>1</v>
      </c>
      <c r="I160">
        <v>0.18</v>
      </c>
      <c r="J160">
        <v>0.19700000000000001</v>
      </c>
      <c r="K160">
        <v>0.47</v>
      </c>
      <c r="L160">
        <v>0.1343</v>
      </c>
      <c r="M160">
        <v>0</v>
      </c>
      <c r="N160">
        <v>39</v>
      </c>
      <c r="O160">
        <v>39</v>
      </c>
    </row>
    <row r="161" spans="1:15" x14ac:dyDescent="0.25">
      <c r="A161">
        <v>160</v>
      </c>
      <c r="B161" s="2">
        <v>40550</v>
      </c>
      <c r="C161">
        <v>1</v>
      </c>
      <c r="D161">
        <v>1</v>
      </c>
      <c r="E161">
        <v>22</v>
      </c>
      <c r="F161" t="b">
        <v>0</v>
      </c>
      <c r="G161">
        <v>5</v>
      </c>
      <c r="H161">
        <v>2</v>
      </c>
      <c r="I161">
        <v>0.18</v>
      </c>
      <c r="J161">
        <v>0.19700000000000001</v>
      </c>
      <c r="K161">
        <v>0.43</v>
      </c>
      <c r="L161">
        <v>0.16420000000000001</v>
      </c>
      <c r="M161">
        <v>2</v>
      </c>
      <c r="N161">
        <v>34</v>
      </c>
      <c r="O161">
        <v>36</v>
      </c>
    </row>
    <row r="162" spans="1:15" x14ac:dyDescent="0.25">
      <c r="A162">
        <v>161</v>
      </c>
      <c r="B162" s="2">
        <v>40550</v>
      </c>
      <c r="C162">
        <v>1</v>
      </c>
      <c r="D162">
        <v>1</v>
      </c>
      <c r="E162">
        <v>23</v>
      </c>
      <c r="F162" t="b">
        <v>0</v>
      </c>
      <c r="G162">
        <v>5</v>
      </c>
      <c r="H162">
        <v>2</v>
      </c>
      <c r="I162">
        <v>0.18</v>
      </c>
      <c r="J162">
        <v>0.19700000000000001</v>
      </c>
      <c r="K162">
        <v>0.51</v>
      </c>
      <c r="L162">
        <v>0.16420000000000001</v>
      </c>
      <c r="M162">
        <v>1</v>
      </c>
      <c r="N162">
        <v>14</v>
      </c>
      <c r="O162">
        <v>15</v>
      </c>
    </row>
    <row r="163" spans="1:15" x14ac:dyDescent="0.25">
      <c r="A163">
        <v>162</v>
      </c>
      <c r="B163" s="2">
        <v>40551</v>
      </c>
      <c r="C163">
        <v>1</v>
      </c>
      <c r="D163">
        <v>1</v>
      </c>
      <c r="E163">
        <v>0</v>
      </c>
      <c r="F163" t="b">
        <v>0</v>
      </c>
      <c r="G163">
        <v>6</v>
      </c>
      <c r="H163">
        <v>2</v>
      </c>
      <c r="I163">
        <v>0.18</v>
      </c>
      <c r="J163">
        <v>0.19700000000000001</v>
      </c>
      <c r="K163">
        <v>0.51</v>
      </c>
      <c r="L163">
        <v>0.16420000000000001</v>
      </c>
      <c r="M163">
        <v>1</v>
      </c>
      <c r="N163">
        <v>24</v>
      </c>
      <c r="O163">
        <v>25</v>
      </c>
    </row>
    <row r="164" spans="1:15" x14ac:dyDescent="0.25">
      <c r="A164">
        <v>163</v>
      </c>
      <c r="B164" s="2">
        <v>40551</v>
      </c>
      <c r="C164">
        <v>1</v>
      </c>
      <c r="D164">
        <v>1</v>
      </c>
      <c r="E164">
        <v>1</v>
      </c>
      <c r="F164" t="b">
        <v>0</v>
      </c>
      <c r="G164">
        <v>6</v>
      </c>
      <c r="H164">
        <v>2</v>
      </c>
      <c r="I164">
        <v>0.18</v>
      </c>
      <c r="J164">
        <v>0.21210000000000001</v>
      </c>
      <c r="K164">
        <v>0.55000000000000004</v>
      </c>
      <c r="L164">
        <v>8.9599999999999999E-2</v>
      </c>
      <c r="M164">
        <v>1</v>
      </c>
      <c r="N164">
        <v>15</v>
      </c>
      <c r="O164">
        <v>16</v>
      </c>
    </row>
    <row r="165" spans="1:15" x14ac:dyDescent="0.25">
      <c r="A165">
        <v>164</v>
      </c>
      <c r="B165" s="2">
        <v>40551</v>
      </c>
      <c r="C165">
        <v>1</v>
      </c>
      <c r="D165">
        <v>1</v>
      </c>
      <c r="E165">
        <v>2</v>
      </c>
      <c r="F165" t="b">
        <v>0</v>
      </c>
      <c r="G165">
        <v>6</v>
      </c>
      <c r="H165">
        <v>2</v>
      </c>
      <c r="I165">
        <v>0.18</v>
      </c>
      <c r="J165">
        <v>0.2424</v>
      </c>
      <c r="K165">
        <v>0.55000000000000004</v>
      </c>
      <c r="L165">
        <v>0.3962</v>
      </c>
      <c r="M165">
        <v>3</v>
      </c>
      <c r="N165">
        <v>13</v>
      </c>
      <c r="O165">
        <v>16</v>
      </c>
    </row>
    <row r="166" spans="1:15" x14ac:dyDescent="0.25">
      <c r="A166">
        <v>165</v>
      </c>
      <c r="B166" s="2">
        <v>40551</v>
      </c>
      <c r="C166">
        <v>1</v>
      </c>
      <c r="D166">
        <v>1</v>
      </c>
      <c r="E166">
        <v>3</v>
      </c>
      <c r="F166" t="b">
        <v>0</v>
      </c>
      <c r="G166">
        <v>6</v>
      </c>
      <c r="H166">
        <v>3</v>
      </c>
      <c r="I166">
        <v>0.18</v>
      </c>
      <c r="J166">
        <v>0.19700000000000001</v>
      </c>
      <c r="K166">
        <v>0.55000000000000004</v>
      </c>
      <c r="L166">
        <v>0.16420000000000001</v>
      </c>
      <c r="M166">
        <v>0</v>
      </c>
      <c r="N166">
        <v>7</v>
      </c>
      <c r="O166">
        <v>7</v>
      </c>
    </row>
    <row r="167" spans="1:15" x14ac:dyDescent="0.25">
      <c r="A167">
        <v>166</v>
      </c>
      <c r="B167" s="2">
        <v>40551</v>
      </c>
      <c r="C167">
        <v>1</v>
      </c>
      <c r="D167">
        <v>1</v>
      </c>
      <c r="E167">
        <v>4</v>
      </c>
      <c r="F167" t="b">
        <v>0</v>
      </c>
      <c r="G167">
        <v>6</v>
      </c>
      <c r="H167">
        <v>3</v>
      </c>
      <c r="I167">
        <v>0.18</v>
      </c>
      <c r="J167">
        <v>0.19700000000000001</v>
      </c>
      <c r="K167">
        <v>0.55000000000000004</v>
      </c>
      <c r="L167">
        <v>0.16420000000000001</v>
      </c>
      <c r="M167">
        <v>0</v>
      </c>
      <c r="N167">
        <v>1</v>
      </c>
      <c r="O167">
        <v>1</v>
      </c>
    </row>
    <row r="168" spans="1:15" x14ac:dyDescent="0.25">
      <c r="A168">
        <v>167</v>
      </c>
      <c r="B168" s="2">
        <v>40551</v>
      </c>
      <c r="C168">
        <v>1</v>
      </c>
      <c r="D168">
        <v>1</v>
      </c>
      <c r="E168">
        <v>5</v>
      </c>
      <c r="F168" t="b">
        <v>0</v>
      </c>
      <c r="G168">
        <v>6</v>
      </c>
      <c r="H168">
        <v>2</v>
      </c>
      <c r="I168">
        <v>0.16</v>
      </c>
      <c r="J168">
        <v>0.16669999999999999</v>
      </c>
      <c r="K168">
        <v>0.74</v>
      </c>
      <c r="L168">
        <v>0.16420000000000001</v>
      </c>
      <c r="M168">
        <v>0</v>
      </c>
      <c r="N168">
        <v>5</v>
      </c>
      <c r="O168">
        <v>5</v>
      </c>
    </row>
    <row r="169" spans="1:15" x14ac:dyDescent="0.25">
      <c r="A169">
        <v>168</v>
      </c>
      <c r="B169" s="2">
        <v>40551</v>
      </c>
      <c r="C169">
        <v>1</v>
      </c>
      <c r="D169">
        <v>1</v>
      </c>
      <c r="E169">
        <v>6</v>
      </c>
      <c r="F169" t="b">
        <v>0</v>
      </c>
      <c r="G169">
        <v>6</v>
      </c>
      <c r="H169">
        <v>2</v>
      </c>
      <c r="I169">
        <v>0.16</v>
      </c>
      <c r="J169">
        <v>0.16669999999999999</v>
      </c>
      <c r="K169">
        <v>0.74</v>
      </c>
      <c r="L169">
        <v>0.16420000000000001</v>
      </c>
      <c r="M169">
        <v>0</v>
      </c>
      <c r="N169">
        <v>2</v>
      </c>
      <c r="O169">
        <v>2</v>
      </c>
    </row>
    <row r="170" spans="1:15" x14ac:dyDescent="0.25">
      <c r="A170">
        <v>169</v>
      </c>
      <c r="B170" s="2">
        <v>40551</v>
      </c>
      <c r="C170">
        <v>1</v>
      </c>
      <c r="D170">
        <v>1</v>
      </c>
      <c r="E170">
        <v>7</v>
      </c>
      <c r="F170" t="b">
        <v>0</v>
      </c>
      <c r="G170">
        <v>6</v>
      </c>
      <c r="H170">
        <v>2</v>
      </c>
      <c r="I170">
        <v>0.16</v>
      </c>
      <c r="J170">
        <v>0.18179999999999999</v>
      </c>
      <c r="K170">
        <v>0.74</v>
      </c>
      <c r="L170">
        <v>0.1045</v>
      </c>
      <c r="M170">
        <v>1</v>
      </c>
      <c r="N170">
        <v>8</v>
      </c>
      <c r="O170">
        <v>9</v>
      </c>
    </row>
    <row r="171" spans="1:15" x14ac:dyDescent="0.25">
      <c r="A171">
        <v>170</v>
      </c>
      <c r="B171" s="2">
        <v>40551</v>
      </c>
      <c r="C171">
        <v>1</v>
      </c>
      <c r="D171">
        <v>1</v>
      </c>
      <c r="E171">
        <v>8</v>
      </c>
      <c r="F171" t="b">
        <v>0</v>
      </c>
      <c r="G171">
        <v>6</v>
      </c>
      <c r="H171">
        <v>3</v>
      </c>
      <c r="I171">
        <v>0.16</v>
      </c>
      <c r="J171">
        <v>0.18179999999999999</v>
      </c>
      <c r="K171">
        <v>0.93</v>
      </c>
      <c r="L171">
        <v>0.1045</v>
      </c>
      <c r="M171">
        <v>0</v>
      </c>
      <c r="N171">
        <v>15</v>
      </c>
      <c r="O171">
        <v>15</v>
      </c>
    </row>
    <row r="172" spans="1:15" x14ac:dyDescent="0.25">
      <c r="A172">
        <v>171</v>
      </c>
      <c r="B172" s="2">
        <v>40551</v>
      </c>
      <c r="C172">
        <v>1</v>
      </c>
      <c r="D172">
        <v>1</v>
      </c>
      <c r="E172">
        <v>9</v>
      </c>
      <c r="F172" t="b">
        <v>0</v>
      </c>
      <c r="G172">
        <v>6</v>
      </c>
      <c r="H172">
        <v>3</v>
      </c>
      <c r="I172">
        <v>0.16</v>
      </c>
      <c r="J172">
        <v>0.18179999999999999</v>
      </c>
      <c r="K172">
        <v>0.93</v>
      </c>
      <c r="L172">
        <v>0.1045</v>
      </c>
      <c r="M172">
        <v>0</v>
      </c>
      <c r="N172">
        <v>20</v>
      </c>
      <c r="O172">
        <v>20</v>
      </c>
    </row>
    <row r="173" spans="1:15" x14ac:dyDescent="0.25">
      <c r="A173">
        <v>172</v>
      </c>
      <c r="B173" s="2">
        <v>40551</v>
      </c>
      <c r="C173">
        <v>1</v>
      </c>
      <c r="D173">
        <v>1</v>
      </c>
      <c r="E173">
        <v>10</v>
      </c>
      <c r="F173" t="b">
        <v>0</v>
      </c>
      <c r="G173">
        <v>6</v>
      </c>
      <c r="H173">
        <v>2</v>
      </c>
      <c r="I173">
        <v>0.18</v>
      </c>
      <c r="J173">
        <v>0.19700000000000001</v>
      </c>
      <c r="K173">
        <v>0.8</v>
      </c>
      <c r="L173">
        <v>0.16420000000000001</v>
      </c>
      <c r="M173">
        <v>5</v>
      </c>
      <c r="N173">
        <v>56</v>
      </c>
      <c r="O173">
        <v>61</v>
      </c>
    </row>
    <row r="174" spans="1:15" x14ac:dyDescent="0.25">
      <c r="A174">
        <v>173</v>
      </c>
      <c r="B174" s="2">
        <v>40551</v>
      </c>
      <c r="C174">
        <v>1</v>
      </c>
      <c r="D174">
        <v>1</v>
      </c>
      <c r="E174">
        <v>11</v>
      </c>
      <c r="F174" t="b">
        <v>0</v>
      </c>
      <c r="G174">
        <v>6</v>
      </c>
      <c r="H174">
        <v>2</v>
      </c>
      <c r="I174">
        <v>0.2</v>
      </c>
      <c r="J174">
        <v>0.18179999999999999</v>
      </c>
      <c r="K174">
        <v>0.69</v>
      </c>
      <c r="L174">
        <v>0.3881</v>
      </c>
      <c r="M174">
        <v>2</v>
      </c>
      <c r="N174">
        <v>60</v>
      </c>
      <c r="O174">
        <v>62</v>
      </c>
    </row>
    <row r="175" spans="1:15" x14ac:dyDescent="0.25">
      <c r="A175">
        <v>174</v>
      </c>
      <c r="B175" s="2">
        <v>40551</v>
      </c>
      <c r="C175">
        <v>1</v>
      </c>
      <c r="D175">
        <v>1</v>
      </c>
      <c r="E175">
        <v>12</v>
      </c>
      <c r="F175" t="b">
        <v>0</v>
      </c>
      <c r="G175">
        <v>6</v>
      </c>
      <c r="H175">
        <v>2</v>
      </c>
      <c r="I175">
        <v>0.2</v>
      </c>
      <c r="J175">
        <v>0.18179999999999999</v>
      </c>
      <c r="K175">
        <v>0.59</v>
      </c>
      <c r="L175">
        <v>0.35820000000000002</v>
      </c>
      <c r="M175">
        <v>8</v>
      </c>
      <c r="N175">
        <v>90</v>
      </c>
      <c r="O175">
        <v>98</v>
      </c>
    </row>
    <row r="176" spans="1:15" x14ac:dyDescent="0.25">
      <c r="A176">
        <v>175</v>
      </c>
      <c r="B176" s="2">
        <v>40551</v>
      </c>
      <c r="C176">
        <v>1</v>
      </c>
      <c r="D176">
        <v>1</v>
      </c>
      <c r="E176">
        <v>13</v>
      </c>
      <c r="F176" t="b">
        <v>0</v>
      </c>
      <c r="G176">
        <v>6</v>
      </c>
      <c r="H176">
        <v>1</v>
      </c>
      <c r="I176">
        <v>0.2</v>
      </c>
      <c r="J176">
        <v>0.18179999999999999</v>
      </c>
      <c r="K176">
        <v>0.44</v>
      </c>
      <c r="L176">
        <v>0.32840000000000003</v>
      </c>
      <c r="M176">
        <v>7</v>
      </c>
      <c r="N176">
        <v>95</v>
      </c>
      <c r="O176">
        <v>102</v>
      </c>
    </row>
    <row r="177" spans="1:15" x14ac:dyDescent="0.25">
      <c r="A177">
        <v>176</v>
      </c>
      <c r="B177" s="2">
        <v>40551</v>
      </c>
      <c r="C177">
        <v>1</v>
      </c>
      <c r="D177">
        <v>1</v>
      </c>
      <c r="E177">
        <v>14</v>
      </c>
      <c r="F177" t="b">
        <v>0</v>
      </c>
      <c r="G177">
        <v>6</v>
      </c>
      <c r="H177">
        <v>1</v>
      </c>
      <c r="I177">
        <v>0.2</v>
      </c>
      <c r="J177">
        <v>0.16669999999999999</v>
      </c>
      <c r="K177">
        <v>0.32</v>
      </c>
      <c r="L177">
        <v>0.49249999999999999</v>
      </c>
      <c r="M177">
        <v>12</v>
      </c>
      <c r="N177">
        <v>83</v>
      </c>
      <c r="O177">
        <v>95</v>
      </c>
    </row>
    <row r="178" spans="1:15" x14ac:dyDescent="0.25">
      <c r="A178">
        <v>177</v>
      </c>
      <c r="B178" s="2">
        <v>40551</v>
      </c>
      <c r="C178">
        <v>1</v>
      </c>
      <c r="D178">
        <v>1</v>
      </c>
      <c r="E178">
        <v>15</v>
      </c>
      <c r="F178" t="b">
        <v>0</v>
      </c>
      <c r="G178">
        <v>6</v>
      </c>
      <c r="H178">
        <v>1</v>
      </c>
      <c r="I178">
        <v>0.2</v>
      </c>
      <c r="J178">
        <v>0.16669999999999999</v>
      </c>
      <c r="K178">
        <v>0.32</v>
      </c>
      <c r="L178">
        <v>0.44779999999999998</v>
      </c>
      <c r="M178">
        <v>5</v>
      </c>
      <c r="N178">
        <v>69</v>
      </c>
      <c r="O178">
        <v>74</v>
      </c>
    </row>
    <row r="179" spans="1:15" x14ac:dyDescent="0.25">
      <c r="A179">
        <v>178</v>
      </c>
      <c r="B179" s="2">
        <v>40551</v>
      </c>
      <c r="C179">
        <v>1</v>
      </c>
      <c r="D179">
        <v>1</v>
      </c>
      <c r="E179">
        <v>16</v>
      </c>
      <c r="F179" t="b">
        <v>0</v>
      </c>
      <c r="G179">
        <v>6</v>
      </c>
      <c r="H179">
        <v>1</v>
      </c>
      <c r="I179">
        <v>0.18</v>
      </c>
      <c r="J179">
        <v>0.13639999999999999</v>
      </c>
      <c r="K179">
        <v>0.28999999999999998</v>
      </c>
      <c r="L179">
        <v>0.44779999999999998</v>
      </c>
      <c r="M179">
        <v>8</v>
      </c>
      <c r="N179">
        <v>68</v>
      </c>
      <c r="O179">
        <v>76</v>
      </c>
    </row>
    <row r="180" spans="1:15" x14ac:dyDescent="0.25">
      <c r="A180">
        <v>179</v>
      </c>
      <c r="B180" s="2">
        <v>40551</v>
      </c>
      <c r="C180">
        <v>1</v>
      </c>
      <c r="D180">
        <v>1</v>
      </c>
      <c r="E180">
        <v>17</v>
      </c>
      <c r="F180" t="b">
        <v>0</v>
      </c>
      <c r="G180">
        <v>6</v>
      </c>
      <c r="H180">
        <v>1</v>
      </c>
      <c r="I180">
        <v>0.16</v>
      </c>
      <c r="J180">
        <v>0.1212</v>
      </c>
      <c r="K180">
        <v>0.37</v>
      </c>
      <c r="L180">
        <v>0.55220000000000002</v>
      </c>
      <c r="M180">
        <v>5</v>
      </c>
      <c r="N180">
        <v>64</v>
      </c>
      <c r="O180">
        <v>69</v>
      </c>
    </row>
    <row r="181" spans="1:15" x14ac:dyDescent="0.25">
      <c r="A181">
        <v>180</v>
      </c>
      <c r="B181" s="2">
        <v>40551</v>
      </c>
      <c r="C181">
        <v>1</v>
      </c>
      <c r="D181">
        <v>1</v>
      </c>
      <c r="E181">
        <v>18</v>
      </c>
      <c r="F181" t="b">
        <v>0</v>
      </c>
      <c r="G181">
        <v>6</v>
      </c>
      <c r="H181">
        <v>1</v>
      </c>
      <c r="I181">
        <v>0.14000000000000001</v>
      </c>
      <c r="J181">
        <v>0.1212</v>
      </c>
      <c r="K181">
        <v>0.39</v>
      </c>
      <c r="L181">
        <v>0.29849999999999999</v>
      </c>
      <c r="M181">
        <v>3</v>
      </c>
      <c r="N181">
        <v>52</v>
      </c>
      <c r="O181">
        <v>55</v>
      </c>
    </row>
    <row r="182" spans="1:15" x14ac:dyDescent="0.25">
      <c r="A182">
        <v>181</v>
      </c>
      <c r="B182" s="2">
        <v>40551</v>
      </c>
      <c r="C182">
        <v>1</v>
      </c>
      <c r="D182">
        <v>1</v>
      </c>
      <c r="E182">
        <v>19</v>
      </c>
      <c r="F182" t="b">
        <v>0</v>
      </c>
      <c r="G182">
        <v>6</v>
      </c>
      <c r="H182">
        <v>1</v>
      </c>
      <c r="I182">
        <v>0.14000000000000001</v>
      </c>
      <c r="J182">
        <v>0.1212</v>
      </c>
      <c r="K182">
        <v>0.36</v>
      </c>
      <c r="L182">
        <v>0.25369999999999998</v>
      </c>
      <c r="M182">
        <v>4</v>
      </c>
      <c r="N182">
        <v>26</v>
      </c>
      <c r="O182">
        <v>30</v>
      </c>
    </row>
    <row r="183" spans="1:15" x14ac:dyDescent="0.25">
      <c r="A183">
        <v>182</v>
      </c>
      <c r="B183" s="2">
        <v>40551</v>
      </c>
      <c r="C183">
        <v>1</v>
      </c>
      <c r="D183">
        <v>1</v>
      </c>
      <c r="E183">
        <v>20</v>
      </c>
      <c r="F183" t="b">
        <v>0</v>
      </c>
      <c r="G183">
        <v>6</v>
      </c>
      <c r="H183">
        <v>1</v>
      </c>
      <c r="I183">
        <v>0.12</v>
      </c>
      <c r="J183">
        <v>0.1212</v>
      </c>
      <c r="K183">
        <v>0.36</v>
      </c>
      <c r="L183">
        <v>0.25369999999999998</v>
      </c>
      <c r="M183">
        <v>0</v>
      </c>
      <c r="N183">
        <v>28</v>
      </c>
      <c r="O183">
        <v>28</v>
      </c>
    </row>
    <row r="184" spans="1:15" x14ac:dyDescent="0.25">
      <c r="A184">
        <v>183</v>
      </c>
      <c r="B184" s="2">
        <v>40551</v>
      </c>
      <c r="C184">
        <v>1</v>
      </c>
      <c r="D184">
        <v>1</v>
      </c>
      <c r="E184">
        <v>21</v>
      </c>
      <c r="F184" t="b">
        <v>0</v>
      </c>
      <c r="G184">
        <v>6</v>
      </c>
      <c r="H184">
        <v>1</v>
      </c>
      <c r="I184">
        <v>0.12</v>
      </c>
      <c r="J184">
        <v>0.1061</v>
      </c>
      <c r="K184">
        <v>0.39</v>
      </c>
      <c r="L184">
        <v>0.35820000000000002</v>
      </c>
      <c r="M184">
        <v>2</v>
      </c>
      <c r="N184">
        <v>35</v>
      </c>
      <c r="O184">
        <v>37</v>
      </c>
    </row>
    <row r="185" spans="1:15" x14ac:dyDescent="0.25">
      <c r="A185">
        <v>184</v>
      </c>
      <c r="B185" s="2">
        <v>40551</v>
      </c>
      <c r="C185">
        <v>1</v>
      </c>
      <c r="D185">
        <v>1</v>
      </c>
      <c r="E185">
        <v>22</v>
      </c>
      <c r="F185" t="b">
        <v>0</v>
      </c>
      <c r="G185">
        <v>6</v>
      </c>
      <c r="H185">
        <v>1</v>
      </c>
      <c r="I185">
        <v>0.12</v>
      </c>
      <c r="J185">
        <v>0.1061</v>
      </c>
      <c r="K185">
        <v>0.36</v>
      </c>
      <c r="L185">
        <v>0.3881</v>
      </c>
      <c r="M185">
        <v>1</v>
      </c>
      <c r="N185">
        <v>33</v>
      </c>
      <c r="O185">
        <v>34</v>
      </c>
    </row>
    <row r="186" spans="1:15" x14ac:dyDescent="0.25">
      <c r="A186">
        <v>185</v>
      </c>
      <c r="B186" s="2">
        <v>40551</v>
      </c>
      <c r="C186">
        <v>1</v>
      </c>
      <c r="D186">
        <v>1</v>
      </c>
      <c r="E186">
        <v>23</v>
      </c>
      <c r="F186" t="b">
        <v>0</v>
      </c>
      <c r="G186">
        <v>6</v>
      </c>
      <c r="H186">
        <v>1</v>
      </c>
      <c r="I186">
        <v>0.1</v>
      </c>
      <c r="J186">
        <v>6.0600000000000001E-2</v>
      </c>
      <c r="K186">
        <v>0.39</v>
      </c>
      <c r="L186">
        <v>0.44779999999999998</v>
      </c>
      <c r="M186">
        <v>0</v>
      </c>
      <c r="N186">
        <v>22</v>
      </c>
      <c r="O186">
        <v>22</v>
      </c>
    </row>
    <row r="187" spans="1:15" x14ac:dyDescent="0.25">
      <c r="A187">
        <v>186</v>
      </c>
      <c r="B187" s="2">
        <v>40552</v>
      </c>
      <c r="C187">
        <v>1</v>
      </c>
      <c r="D187">
        <v>1</v>
      </c>
      <c r="E187">
        <v>0</v>
      </c>
      <c r="F187" t="b">
        <v>0</v>
      </c>
      <c r="G187">
        <v>0</v>
      </c>
      <c r="H187">
        <v>1</v>
      </c>
      <c r="I187">
        <v>0.1</v>
      </c>
      <c r="J187">
        <v>7.5800000000000006E-2</v>
      </c>
      <c r="K187">
        <v>0.42</v>
      </c>
      <c r="L187">
        <v>0.3881</v>
      </c>
      <c r="M187">
        <v>1</v>
      </c>
      <c r="N187">
        <v>24</v>
      </c>
      <c r="O187">
        <v>25</v>
      </c>
    </row>
    <row r="188" spans="1:15" x14ac:dyDescent="0.25">
      <c r="A188">
        <v>187</v>
      </c>
      <c r="B188" s="2">
        <v>40552</v>
      </c>
      <c r="C188">
        <v>1</v>
      </c>
      <c r="D188">
        <v>1</v>
      </c>
      <c r="E188">
        <v>1</v>
      </c>
      <c r="F188" t="b">
        <v>0</v>
      </c>
      <c r="G188">
        <v>0</v>
      </c>
      <c r="H188">
        <v>1</v>
      </c>
      <c r="I188">
        <v>0.1</v>
      </c>
      <c r="J188">
        <v>6.0600000000000001E-2</v>
      </c>
      <c r="K188">
        <v>0.42</v>
      </c>
      <c r="L188">
        <v>0.4627</v>
      </c>
      <c r="M188">
        <v>0</v>
      </c>
      <c r="N188">
        <v>12</v>
      </c>
      <c r="O188">
        <v>12</v>
      </c>
    </row>
    <row r="189" spans="1:15" x14ac:dyDescent="0.25">
      <c r="A189">
        <v>188</v>
      </c>
      <c r="B189" s="2">
        <v>40552</v>
      </c>
      <c r="C189">
        <v>1</v>
      </c>
      <c r="D189">
        <v>1</v>
      </c>
      <c r="E189">
        <v>2</v>
      </c>
      <c r="F189" t="b">
        <v>0</v>
      </c>
      <c r="G189">
        <v>0</v>
      </c>
      <c r="H189">
        <v>1</v>
      </c>
      <c r="I189">
        <v>0.1</v>
      </c>
      <c r="J189">
        <v>6.0600000000000001E-2</v>
      </c>
      <c r="K189">
        <v>0.46</v>
      </c>
      <c r="L189">
        <v>0.4627</v>
      </c>
      <c r="M189">
        <v>0</v>
      </c>
      <c r="N189">
        <v>11</v>
      </c>
      <c r="O189">
        <v>11</v>
      </c>
    </row>
    <row r="190" spans="1:15" x14ac:dyDescent="0.25">
      <c r="A190">
        <v>189</v>
      </c>
      <c r="B190" s="2">
        <v>40552</v>
      </c>
      <c r="C190">
        <v>1</v>
      </c>
      <c r="D190">
        <v>1</v>
      </c>
      <c r="E190">
        <v>3</v>
      </c>
      <c r="F190" t="b">
        <v>0</v>
      </c>
      <c r="G190">
        <v>0</v>
      </c>
      <c r="H190">
        <v>1</v>
      </c>
      <c r="I190">
        <v>0.1</v>
      </c>
      <c r="J190">
        <v>7.5800000000000006E-2</v>
      </c>
      <c r="K190">
        <v>0.46</v>
      </c>
      <c r="L190">
        <v>0.41789999999999999</v>
      </c>
      <c r="M190">
        <v>0</v>
      </c>
      <c r="N190">
        <v>4</v>
      </c>
      <c r="O190">
        <v>4</v>
      </c>
    </row>
    <row r="191" spans="1:15" x14ac:dyDescent="0.25">
      <c r="A191">
        <v>190</v>
      </c>
      <c r="B191" s="2">
        <v>40552</v>
      </c>
      <c r="C191">
        <v>1</v>
      </c>
      <c r="D191">
        <v>1</v>
      </c>
      <c r="E191">
        <v>4</v>
      </c>
      <c r="F191" t="b">
        <v>0</v>
      </c>
      <c r="G191">
        <v>0</v>
      </c>
      <c r="H191">
        <v>1</v>
      </c>
      <c r="I191">
        <v>0.08</v>
      </c>
      <c r="J191">
        <v>9.0899999999999995E-2</v>
      </c>
      <c r="K191">
        <v>0.53</v>
      </c>
      <c r="L191">
        <v>0.19400000000000001</v>
      </c>
      <c r="M191">
        <v>0</v>
      </c>
      <c r="N191">
        <v>1</v>
      </c>
      <c r="O191">
        <v>1</v>
      </c>
    </row>
    <row r="192" spans="1:15" x14ac:dyDescent="0.25">
      <c r="A192">
        <v>191</v>
      </c>
      <c r="B192" s="2">
        <v>40552</v>
      </c>
      <c r="C192">
        <v>1</v>
      </c>
      <c r="D192">
        <v>1</v>
      </c>
      <c r="E192">
        <v>5</v>
      </c>
      <c r="F192" t="b">
        <v>0</v>
      </c>
      <c r="G192">
        <v>0</v>
      </c>
      <c r="H192">
        <v>1</v>
      </c>
      <c r="I192">
        <v>0.08</v>
      </c>
      <c r="J192">
        <v>9.0899999999999995E-2</v>
      </c>
      <c r="K192">
        <v>0.53</v>
      </c>
      <c r="L192">
        <v>0.19400000000000001</v>
      </c>
      <c r="M192">
        <v>0</v>
      </c>
      <c r="N192">
        <v>1</v>
      </c>
      <c r="O192">
        <v>1</v>
      </c>
    </row>
    <row r="193" spans="1:15" x14ac:dyDescent="0.25">
      <c r="A193">
        <v>192</v>
      </c>
      <c r="B193" s="2">
        <v>40552</v>
      </c>
      <c r="C193">
        <v>1</v>
      </c>
      <c r="D193">
        <v>1</v>
      </c>
      <c r="E193">
        <v>6</v>
      </c>
      <c r="F193" t="b">
        <v>0</v>
      </c>
      <c r="G193">
        <v>0</v>
      </c>
      <c r="H193">
        <v>1</v>
      </c>
      <c r="I193">
        <v>0.1</v>
      </c>
      <c r="J193">
        <v>9.0899999999999995E-2</v>
      </c>
      <c r="K193">
        <v>0.49</v>
      </c>
      <c r="L193">
        <v>0.28360000000000002</v>
      </c>
      <c r="M193">
        <v>0</v>
      </c>
      <c r="N193">
        <v>1</v>
      </c>
      <c r="O193">
        <v>1</v>
      </c>
    </row>
    <row r="194" spans="1:15" x14ac:dyDescent="0.25">
      <c r="A194">
        <v>193</v>
      </c>
      <c r="B194" s="2">
        <v>40552</v>
      </c>
      <c r="C194">
        <v>1</v>
      </c>
      <c r="D194">
        <v>1</v>
      </c>
      <c r="E194">
        <v>7</v>
      </c>
      <c r="F194" t="b">
        <v>0</v>
      </c>
      <c r="G194">
        <v>0</v>
      </c>
      <c r="H194">
        <v>1</v>
      </c>
      <c r="I194">
        <v>0.08</v>
      </c>
      <c r="J194">
        <v>9.0899999999999995E-2</v>
      </c>
      <c r="K194">
        <v>0.53</v>
      </c>
      <c r="L194">
        <v>0.19400000000000001</v>
      </c>
      <c r="M194">
        <v>1</v>
      </c>
      <c r="N194">
        <v>5</v>
      </c>
      <c r="O194">
        <v>6</v>
      </c>
    </row>
    <row r="195" spans="1:15" x14ac:dyDescent="0.25">
      <c r="A195">
        <v>194</v>
      </c>
      <c r="B195" s="2">
        <v>40552</v>
      </c>
      <c r="C195">
        <v>1</v>
      </c>
      <c r="D195">
        <v>1</v>
      </c>
      <c r="E195">
        <v>8</v>
      </c>
      <c r="F195" t="b">
        <v>0</v>
      </c>
      <c r="G195">
        <v>0</v>
      </c>
      <c r="H195">
        <v>1</v>
      </c>
      <c r="I195">
        <v>0.1</v>
      </c>
      <c r="J195">
        <v>9.0899999999999995E-2</v>
      </c>
      <c r="K195">
        <v>0.49</v>
      </c>
      <c r="L195">
        <v>0.28360000000000002</v>
      </c>
      <c r="M195">
        <v>0</v>
      </c>
      <c r="N195">
        <v>10</v>
      </c>
      <c r="O195">
        <v>10</v>
      </c>
    </row>
    <row r="196" spans="1:15" x14ac:dyDescent="0.25">
      <c r="A196">
        <v>195</v>
      </c>
      <c r="B196" s="2">
        <v>40552</v>
      </c>
      <c r="C196">
        <v>1</v>
      </c>
      <c r="D196">
        <v>1</v>
      </c>
      <c r="E196">
        <v>9</v>
      </c>
      <c r="F196" t="b">
        <v>0</v>
      </c>
      <c r="G196">
        <v>0</v>
      </c>
      <c r="H196">
        <v>1</v>
      </c>
      <c r="I196">
        <v>0.12</v>
      </c>
      <c r="J196">
        <v>7.5800000000000006E-2</v>
      </c>
      <c r="K196">
        <v>0.46</v>
      </c>
      <c r="L196">
        <v>0.52239999999999998</v>
      </c>
      <c r="M196">
        <v>0</v>
      </c>
      <c r="N196">
        <v>19</v>
      </c>
      <c r="O196">
        <v>19</v>
      </c>
    </row>
    <row r="197" spans="1:15" x14ac:dyDescent="0.25">
      <c r="A197">
        <v>196</v>
      </c>
      <c r="B197" s="2">
        <v>40552</v>
      </c>
      <c r="C197">
        <v>1</v>
      </c>
      <c r="D197">
        <v>1</v>
      </c>
      <c r="E197">
        <v>10</v>
      </c>
      <c r="F197" t="b">
        <v>0</v>
      </c>
      <c r="G197">
        <v>0</v>
      </c>
      <c r="H197">
        <v>1</v>
      </c>
      <c r="I197">
        <v>0.14000000000000001</v>
      </c>
      <c r="J197">
        <v>0.1061</v>
      </c>
      <c r="K197">
        <v>0.43</v>
      </c>
      <c r="L197">
        <v>0.3881</v>
      </c>
      <c r="M197">
        <v>0</v>
      </c>
      <c r="N197">
        <v>49</v>
      </c>
      <c r="O197">
        <v>49</v>
      </c>
    </row>
    <row r="198" spans="1:15" x14ac:dyDescent="0.25">
      <c r="A198">
        <v>197</v>
      </c>
      <c r="B198" s="2">
        <v>40552</v>
      </c>
      <c r="C198">
        <v>1</v>
      </c>
      <c r="D198">
        <v>1</v>
      </c>
      <c r="E198">
        <v>11</v>
      </c>
      <c r="F198" t="b">
        <v>0</v>
      </c>
      <c r="G198">
        <v>0</v>
      </c>
      <c r="H198">
        <v>1</v>
      </c>
      <c r="I198">
        <v>0.16</v>
      </c>
      <c r="J198">
        <v>0.1212</v>
      </c>
      <c r="K198">
        <v>0.4</v>
      </c>
      <c r="L198">
        <v>0.52239999999999998</v>
      </c>
      <c r="M198">
        <v>2</v>
      </c>
      <c r="N198">
        <v>47</v>
      </c>
      <c r="O198">
        <v>49</v>
      </c>
    </row>
    <row r="199" spans="1:15" x14ac:dyDescent="0.25">
      <c r="A199">
        <v>198</v>
      </c>
      <c r="B199" s="2">
        <v>40552</v>
      </c>
      <c r="C199">
        <v>1</v>
      </c>
      <c r="D199">
        <v>1</v>
      </c>
      <c r="E199">
        <v>12</v>
      </c>
      <c r="F199" t="b">
        <v>0</v>
      </c>
      <c r="G199">
        <v>0</v>
      </c>
      <c r="H199">
        <v>1</v>
      </c>
      <c r="I199">
        <v>0.18</v>
      </c>
      <c r="J199">
        <v>0.13639999999999999</v>
      </c>
      <c r="K199">
        <v>0.37</v>
      </c>
      <c r="L199">
        <v>0.44779999999999998</v>
      </c>
      <c r="M199">
        <v>4</v>
      </c>
      <c r="N199">
        <v>79</v>
      </c>
      <c r="O199">
        <v>83</v>
      </c>
    </row>
    <row r="200" spans="1:15" x14ac:dyDescent="0.25">
      <c r="A200">
        <v>199</v>
      </c>
      <c r="B200" s="2">
        <v>40552</v>
      </c>
      <c r="C200">
        <v>1</v>
      </c>
      <c r="D200">
        <v>1</v>
      </c>
      <c r="E200">
        <v>13</v>
      </c>
      <c r="F200" t="b">
        <v>0</v>
      </c>
      <c r="G200">
        <v>0</v>
      </c>
      <c r="H200">
        <v>1</v>
      </c>
      <c r="I200">
        <v>0.2</v>
      </c>
      <c r="J200">
        <v>0.16669999999999999</v>
      </c>
      <c r="K200">
        <v>0.34</v>
      </c>
      <c r="L200">
        <v>0.44779999999999998</v>
      </c>
      <c r="M200">
        <v>6</v>
      </c>
      <c r="N200">
        <v>69</v>
      </c>
      <c r="O200">
        <v>75</v>
      </c>
    </row>
    <row r="201" spans="1:15" x14ac:dyDescent="0.25">
      <c r="A201">
        <v>200</v>
      </c>
      <c r="B201" s="2">
        <v>40552</v>
      </c>
      <c r="C201">
        <v>1</v>
      </c>
      <c r="D201">
        <v>1</v>
      </c>
      <c r="E201">
        <v>14</v>
      </c>
      <c r="F201" t="b">
        <v>0</v>
      </c>
      <c r="G201">
        <v>0</v>
      </c>
      <c r="H201">
        <v>1</v>
      </c>
      <c r="I201">
        <v>0.22</v>
      </c>
      <c r="J201">
        <v>0.18179999999999999</v>
      </c>
      <c r="K201">
        <v>0.32</v>
      </c>
      <c r="L201">
        <v>0.4627</v>
      </c>
      <c r="M201">
        <v>8</v>
      </c>
      <c r="N201">
        <v>64</v>
      </c>
      <c r="O201">
        <v>72</v>
      </c>
    </row>
    <row r="202" spans="1:15" x14ac:dyDescent="0.25">
      <c r="A202">
        <v>201</v>
      </c>
      <c r="B202" s="2">
        <v>40552</v>
      </c>
      <c r="C202">
        <v>1</v>
      </c>
      <c r="D202">
        <v>1</v>
      </c>
      <c r="E202">
        <v>15</v>
      </c>
      <c r="F202" t="b">
        <v>0</v>
      </c>
      <c r="G202">
        <v>0</v>
      </c>
      <c r="H202">
        <v>1</v>
      </c>
      <c r="I202">
        <v>0.22</v>
      </c>
      <c r="J202">
        <v>0.19700000000000001</v>
      </c>
      <c r="K202">
        <v>0.35</v>
      </c>
      <c r="L202">
        <v>0.35820000000000002</v>
      </c>
      <c r="M202">
        <v>5</v>
      </c>
      <c r="N202">
        <v>77</v>
      </c>
      <c r="O202">
        <v>82</v>
      </c>
    </row>
    <row r="203" spans="1:15" x14ac:dyDescent="0.25">
      <c r="A203">
        <v>202</v>
      </c>
      <c r="B203" s="2">
        <v>40552</v>
      </c>
      <c r="C203">
        <v>1</v>
      </c>
      <c r="D203">
        <v>1</v>
      </c>
      <c r="E203">
        <v>16</v>
      </c>
      <c r="F203" t="b">
        <v>0</v>
      </c>
      <c r="G203">
        <v>0</v>
      </c>
      <c r="H203">
        <v>1</v>
      </c>
      <c r="I203">
        <v>0.2</v>
      </c>
      <c r="J203">
        <v>0.16669999999999999</v>
      </c>
      <c r="K203">
        <v>0.34</v>
      </c>
      <c r="L203">
        <v>0.44779999999999998</v>
      </c>
      <c r="M203">
        <v>13</v>
      </c>
      <c r="N203">
        <v>79</v>
      </c>
      <c r="O203">
        <v>92</v>
      </c>
    </row>
    <row r="204" spans="1:15" x14ac:dyDescent="0.25">
      <c r="A204">
        <v>203</v>
      </c>
      <c r="B204" s="2">
        <v>40552</v>
      </c>
      <c r="C204">
        <v>1</v>
      </c>
      <c r="D204">
        <v>1</v>
      </c>
      <c r="E204">
        <v>17</v>
      </c>
      <c r="F204" t="b">
        <v>0</v>
      </c>
      <c r="G204">
        <v>0</v>
      </c>
      <c r="H204">
        <v>1</v>
      </c>
      <c r="I204">
        <v>0.18</v>
      </c>
      <c r="J204">
        <v>0.1515</v>
      </c>
      <c r="K204">
        <v>0.37</v>
      </c>
      <c r="L204">
        <v>0.3881</v>
      </c>
      <c r="M204">
        <v>3</v>
      </c>
      <c r="N204">
        <v>59</v>
      </c>
      <c r="O204">
        <v>62</v>
      </c>
    </row>
    <row r="205" spans="1:15" x14ac:dyDescent="0.25">
      <c r="A205">
        <v>204</v>
      </c>
      <c r="B205" s="2">
        <v>40552</v>
      </c>
      <c r="C205">
        <v>1</v>
      </c>
      <c r="D205">
        <v>1</v>
      </c>
      <c r="E205">
        <v>18</v>
      </c>
      <c r="F205" t="b">
        <v>0</v>
      </c>
      <c r="G205">
        <v>0</v>
      </c>
      <c r="H205">
        <v>1</v>
      </c>
      <c r="I205">
        <v>0.16</v>
      </c>
      <c r="J205">
        <v>0.13639999999999999</v>
      </c>
      <c r="K205">
        <v>0.4</v>
      </c>
      <c r="L205">
        <v>0.32840000000000003</v>
      </c>
      <c r="M205">
        <v>4</v>
      </c>
      <c r="N205">
        <v>44</v>
      </c>
      <c r="O205">
        <v>48</v>
      </c>
    </row>
    <row r="206" spans="1:15" x14ac:dyDescent="0.25">
      <c r="A206">
        <v>205</v>
      </c>
      <c r="B206" s="2">
        <v>40552</v>
      </c>
      <c r="C206">
        <v>1</v>
      </c>
      <c r="D206">
        <v>1</v>
      </c>
      <c r="E206">
        <v>19</v>
      </c>
      <c r="F206" t="b">
        <v>0</v>
      </c>
      <c r="G206">
        <v>0</v>
      </c>
      <c r="H206">
        <v>1</v>
      </c>
      <c r="I206">
        <v>0.16</v>
      </c>
      <c r="J206">
        <v>0.13639999999999999</v>
      </c>
      <c r="K206">
        <v>0.43</v>
      </c>
      <c r="L206">
        <v>0.32840000000000003</v>
      </c>
      <c r="M206">
        <v>1</v>
      </c>
      <c r="N206">
        <v>40</v>
      </c>
      <c r="O206">
        <v>41</v>
      </c>
    </row>
    <row r="207" spans="1:15" x14ac:dyDescent="0.25">
      <c r="A207">
        <v>206</v>
      </c>
      <c r="B207" s="2">
        <v>40552</v>
      </c>
      <c r="C207">
        <v>1</v>
      </c>
      <c r="D207">
        <v>1</v>
      </c>
      <c r="E207">
        <v>20</v>
      </c>
      <c r="F207" t="b">
        <v>0</v>
      </c>
      <c r="G207">
        <v>0</v>
      </c>
      <c r="H207">
        <v>1</v>
      </c>
      <c r="I207">
        <v>0.14000000000000001</v>
      </c>
      <c r="J207">
        <v>0.1212</v>
      </c>
      <c r="K207">
        <v>0.46</v>
      </c>
      <c r="L207">
        <v>0.25369999999999998</v>
      </c>
      <c r="M207">
        <v>0</v>
      </c>
      <c r="N207">
        <v>38</v>
      </c>
      <c r="O207">
        <v>38</v>
      </c>
    </row>
    <row r="208" spans="1:15" x14ac:dyDescent="0.25">
      <c r="A208">
        <v>207</v>
      </c>
      <c r="B208" s="2">
        <v>40552</v>
      </c>
      <c r="C208">
        <v>1</v>
      </c>
      <c r="D208">
        <v>1</v>
      </c>
      <c r="E208">
        <v>21</v>
      </c>
      <c r="F208" t="b">
        <v>0</v>
      </c>
      <c r="G208">
        <v>0</v>
      </c>
      <c r="H208">
        <v>1</v>
      </c>
      <c r="I208">
        <v>0.14000000000000001</v>
      </c>
      <c r="J208">
        <v>0.1061</v>
      </c>
      <c r="K208">
        <v>0.46</v>
      </c>
      <c r="L208">
        <v>0.41789999999999999</v>
      </c>
      <c r="M208">
        <v>1</v>
      </c>
      <c r="N208">
        <v>19</v>
      </c>
      <c r="O208">
        <v>20</v>
      </c>
    </row>
    <row r="209" spans="1:15" x14ac:dyDescent="0.25">
      <c r="A209">
        <v>208</v>
      </c>
      <c r="B209" s="2">
        <v>40552</v>
      </c>
      <c r="C209">
        <v>1</v>
      </c>
      <c r="D209">
        <v>1</v>
      </c>
      <c r="E209">
        <v>22</v>
      </c>
      <c r="F209" t="b">
        <v>0</v>
      </c>
      <c r="G209">
        <v>0</v>
      </c>
      <c r="H209">
        <v>1</v>
      </c>
      <c r="I209">
        <v>0.14000000000000001</v>
      </c>
      <c r="J209">
        <v>0.1212</v>
      </c>
      <c r="K209">
        <v>0.46</v>
      </c>
      <c r="L209">
        <v>0.29849999999999999</v>
      </c>
      <c r="M209">
        <v>5</v>
      </c>
      <c r="N209">
        <v>10</v>
      </c>
      <c r="O209">
        <v>15</v>
      </c>
    </row>
    <row r="210" spans="1:15" x14ac:dyDescent="0.25">
      <c r="A210">
        <v>209</v>
      </c>
      <c r="B210" s="2">
        <v>40552</v>
      </c>
      <c r="C210">
        <v>1</v>
      </c>
      <c r="D210">
        <v>1</v>
      </c>
      <c r="E210">
        <v>23</v>
      </c>
      <c r="F210" t="b">
        <v>0</v>
      </c>
      <c r="G210">
        <v>0</v>
      </c>
      <c r="H210">
        <v>1</v>
      </c>
      <c r="I210">
        <v>0.12</v>
      </c>
      <c r="J210">
        <v>0.13639999999999999</v>
      </c>
      <c r="K210">
        <v>0.5</v>
      </c>
      <c r="L210">
        <v>0.19400000000000001</v>
      </c>
      <c r="M210">
        <v>0</v>
      </c>
      <c r="N210">
        <v>6</v>
      </c>
      <c r="O210">
        <v>6</v>
      </c>
    </row>
    <row r="211" spans="1:15" x14ac:dyDescent="0.25">
      <c r="A211">
        <v>210</v>
      </c>
      <c r="B211" s="2">
        <v>40553</v>
      </c>
      <c r="C211">
        <v>1</v>
      </c>
      <c r="D211">
        <v>1</v>
      </c>
      <c r="E211">
        <v>0</v>
      </c>
      <c r="F211" t="b">
        <v>0</v>
      </c>
      <c r="G211">
        <v>1</v>
      </c>
      <c r="H211">
        <v>1</v>
      </c>
      <c r="I211">
        <v>0.12</v>
      </c>
      <c r="J211">
        <v>0.1212</v>
      </c>
      <c r="K211">
        <v>0.5</v>
      </c>
      <c r="L211">
        <v>0.28360000000000002</v>
      </c>
      <c r="M211">
        <v>2</v>
      </c>
      <c r="N211">
        <v>3</v>
      </c>
      <c r="O211">
        <v>5</v>
      </c>
    </row>
    <row r="212" spans="1:15" x14ac:dyDescent="0.25">
      <c r="A212">
        <v>211</v>
      </c>
      <c r="B212" s="2">
        <v>40553</v>
      </c>
      <c r="C212">
        <v>1</v>
      </c>
      <c r="D212">
        <v>1</v>
      </c>
      <c r="E212">
        <v>1</v>
      </c>
      <c r="F212" t="b">
        <v>0</v>
      </c>
      <c r="G212">
        <v>1</v>
      </c>
      <c r="H212">
        <v>1</v>
      </c>
      <c r="I212">
        <v>0.12</v>
      </c>
      <c r="J212">
        <v>0.1212</v>
      </c>
      <c r="K212">
        <v>0.5</v>
      </c>
      <c r="L212">
        <v>0.28360000000000002</v>
      </c>
      <c r="M212">
        <v>1</v>
      </c>
      <c r="N212">
        <v>0</v>
      </c>
      <c r="O212">
        <v>1</v>
      </c>
    </row>
    <row r="213" spans="1:15" x14ac:dyDescent="0.25">
      <c r="A213">
        <v>212</v>
      </c>
      <c r="B213" s="2">
        <v>40553</v>
      </c>
      <c r="C213">
        <v>1</v>
      </c>
      <c r="D213">
        <v>1</v>
      </c>
      <c r="E213">
        <v>2</v>
      </c>
      <c r="F213" t="b">
        <v>0</v>
      </c>
      <c r="G213">
        <v>1</v>
      </c>
      <c r="H213">
        <v>1</v>
      </c>
      <c r="I213">
        <v>0.12</v>
      </c>
      <c r="J213">
        <v>0.1212</v>
      </c>
      <c r="K213">
        <v>0.5</v>
      </c>
      <c r="L213">
        <v>0.22389999999999999</v>
      </c>
      <c r="M213">
        <v>0</v>
      </c>
      <c r="N213">
        <v>3</v>
      </c>
      <c r="O213">
        <v>3</v>
      </c>
    </row>
    <row r="214" spans="1:15" x14ac:dyDescent="0.25">
      <c r="A214">
        <v>213</v>
      </c>
      <c r="B214" s="2">
        <v>40553</v>
      </c>
      <c r="C214">
        <v>1</v>
      </c>
      <c r="D214">
        <v>1</v>
      </c>
      <c r="E214">
        <v>3</v>
      </c>
      <c r="F214" t="b">
        <v>0</v>
      </c>
      <c r="G214">
        <v>1</v>
      </c>
      <c r="H214">
        <v>1</v>
      </c>
      <c r="I214">
        <v>0.12</v>
      </c>
      <c r="J214">
        <v>0.1212</v>
      </c>
      <c r="K214">
        <v>0.5</v>
      </c>
      <c r="L214">
        <v>0.22389999999999999</v>
      </c>
      <c r="M214">
        <v>0</v>
      </c>
      <c r="N214">
        <v>1</v>
      </c>
      <c r="O214">
        <v>1</v>
      </c>
    </row>
    <row r="215" spans="1:15" x14ac:dyDescent="0.25">
      <c r="A215">
        <v>214</v>
      </c>
      <c r="B215" s="2">
        <v>40553</v>
      </c>
      <c r="C215">
        <v>1</v>
      </c>
      <c r="D215">
        <v>1</v>
      </c>
      <c r="E215">
        <v>4</v>
      </c>
      <c r="F215" t="b">
        <v>0</v>
      </c>
      <c r="G215">
        <v>1</v>
      </c>
      <c r="H215">
        <v>1</v>
      </c>
      <c r="I215">
        <v>0.1</v>
      </c>
      <c r="J215">
        <v>0.1212</v>
      </c>
      <c r="K215">
        <v>0.54</v>
      </c>
      <c r="L215">
        <v>0.1343</v>
      </c>
      <c r="M215">
        <v>1</v>
      </c>
      <c r="N215">
        <v>2</v>
      </c>
      <c r="O215">
        <v>3</v>
      </c>
    </row>
    <row r="216" spans="1:15" x14ac:dyDescent="0.25">
      <c r="A216">
        <v>215</v>
      </c>
      <c r="B216" s="2">
        <v>40553</v>
      </c>
      <c r="C216">
        <v>1</v>
      </c>
      <c r="D216">
        <v>1</v>
      </c>
      <c r="E216">
        <v>5</v>
      </c>
      <c r="F216" t="b">
        <v>0</v>
      </c>
      <c r="G216">
        <v>1</v>
      </c>
      <c r="H216">
        <v>1</v>
      </c>
      <c r="I216">
        <v>0.1</v>
      </c>
      <c r="J216">
        <v>0.1061</v>
      </c>
      <c r="K216">
        <v>0.54</v>
      </c>
      <c r="L216">
        <v>0.25369999999999998</v>
      </c>
      <c r="M216">
        <v>0</v>
      </c>
      <c r="N216">
        <v>3</v>
      </c>
      <c r="O216">
        <v>3</v>
      </c>
    </row>
    <row r="217" spans="1:15" x14ac:dyDescent="0.25">
      <c r="A217">
        <v>216</v>
      </c>
      <c r="B217" s="2">
        <v>40553</v>
      </c>
      <c r="C217">
        <v>1</v>
      </c>
      <c r="D217">
        <v>1</v>
      </c>
      <c r="E217">
        <v>6</v>
      </c>
      <c r="F217" t="b">
        <v>0</v>
      </c>
      <c r="G217">
        <v>1</v>
      </c>
      <c r="H217">
        <v>1</v>
      </c>
      <c r="I217">
        <v>0.12</v>
      </c>
      <c r="J217">
        <v>0.1212</v>
      </c>
      <c r="K217">
        <v>0.5</v>
      </c>
      <c r="L217">
        <v>0.28360000000000002</v>
      </c>
      <c r="M217">
        <v>0</v>
      </c>
      <c r="N217">
        <v>31</v>
      </c>
      <c r="O217">
        <v>31</v>
      </c>
    </row>
    <row r="218" spans="1:15" x14ac:dyDescent="0.25">
      <c r="A218">
        <v>217</v>
      </c>
      <c r="B218" s="2">
        <v>40553</v>
      </c>
      <c r="C218">
        <v>1</v>
      </c>
      <c r="D218">
        <v>1</v>
      </c>
      <c r="E218">
        <v>7</v>
      </c>
      <c r="F218" t="b">
        <v>0</v>
      </c>
      <c r="G218">
        <v>1</v>
      </c>
      <c r="H218">
        <v>1</v>
      </c>
      <c r="I218">
        <v>0.12</v>
      </c>
      <c r="J218">
        <v>0.1212</v>
      </c>
      <c r="K218">
        <v>0.5</v>
      </c>
      <c r="L218">
        <v>0.22389999999999999</v>
      </c>
      <c r="M218">
        <v>2</v>
      </c>
      <c r="N218">
        <v>75</v>
      </c>
      <c r="O218">
        <v>77</v>
      </c>
    </row>
    <row r="219" spans="1:15" x14ac:dyDescent="0.25">
      <c r="A219">
        <v>218</v>
      </c>
      <c r="B219" s="2">
        <v>40553</v>
      </c>
      <c r="C219">
        <v>1</v>
      </c>
      <c r="D219">
        <v>1</v>
      </c>
      <c r="E219">
        <v>8</v>
      </c>
      <c r="F219" t="b">
        <v>0</v>
      </c>
      <c r="G219">
        <v>1</v>
      </c>
      <c r="H219">
        <v>2</v>
      </c>
      <c r="I219">
        <v>0.12</v>
      </c>
      <c r="J219">
        <v>0.1212</v>
      </c>
      <c r="K219">
        <v>0.5</v>
      </c>
      <c r="L219">
        <v>0.28360000000000002</v>
      </c>
      <c r="M219">
        <v>4</v>
      </c>
      <c r="N219">
        <v>184</v>
      </c>
      <c r="O219">
        <v>188</v>
      </c>
    </row>
    <row r="220" spans="1:15" x14ac:dyDescent="0.25">
      <c r="A220">
        <v>219</v>
      </c>
      <c r="B220" s="2">
        <v>40553</v>
      </c>
      <c r="C220">
        <v>1</v>
      </c>
      <c r="D220">
        <v>1</v>
      </c>
      <c r="E220">
        <v>9</v>
      </c>
      <c r="F220" t="b">
        <v>0</v>
      </c>
      <c r="G220">
        <v>1</v>
      </c>
      <c r="H220">
        <v>2</v>
      </c>
      <c r="I220">
        <v>0.14000000000000001</v>
      </c>
      <c r="J220">
        <v>0.1212</v>
      </c>
      <c r="K220">
        <v>0.5</v>
      </c>
      <c r="L220">
        <v>0.25369999999999998</v>
      </c>
      <c r="M220">
        <v>2</v>
      </c>
      <c r="N220">
        <v>92</v>
      </c>
      <c r="O220">
        <v>94</v>
      </c>
    </row>
    <row r="221" spans="1:15" x14ac:dyDescent="0.25">
      <c r="A221">
        <v>220</v>
      </c>
      <c r="B221" s="2">
        <v>40553</v>
      </c>
      <c r="C221">
        <v>1</v>
      </c>
      <c r="D221">
        <v>1</v>
      </c>
      <c r="E221">
        <v>10</v>
      </c>
      <c r="F221" t="b">
        <v>0</v>
      </c>
      <c r="G221">
        <v>1</v>
      </c>
      <c r="H221">
        <v>2</v>
      </c>
      <c r="I221">
        <v>0.14000000000000001</v>
      </c>
      <c r="J221">
        <v>0.1212</v>
      </c>
      <c r="K221">
        <v>0.5</v>
      </c>
      <c r="L221">
        <v>0.29849999999999999</v>
      </c>
      <c r="M221">
        <v>0</v>
      </c>
      <c r="N221">
        <v>31</v>
      </c>
      <c r="O221">
        <v>31</v>
      </c>
    </row>
    <row r="222" spans="1:15" x14ac:dyDescent="0.25">
      <c r="A222">
        <v>221</v>
      </c>
      <c r="B222" s="2">
        <v>40553</v>
      </c>
      <c r="C222">
        <v>1</v>
      </c>
      <c r="D222">
        <v>1</v>
      </c>
      <c r="E222">
        <v>11</v>
      </c>
      <c r="F222" t="b">
        <v>0</v>
      </c>
      <c r="G222">
        <v>1</v>
      </c>
      <c r="H222">
        <v>2</v>
      </c>
      <c r="I222">
        <v>0.16</v>
      </c>
      <c r="J222">
        <v>0.13639999999999999</v>
      </c>
      <c r="K222">
        <v>0.47</v>
      </c>
      <c r="L222">
        <v>0.28360000000000002</v>
      </c>
      <c r="M222">
        <v>2</v>
      </c>
      <c r="N222">
        <v>28</v>
      </c>
      <c r="O222">
        <v>30</v>
      </c>
    </row>
    <row r="223" spans="1:15" x14ac:dyDescent="0.25">
      <c r="A223">
        <v>222</v>
      </c>
      <c r="B223" s="2">
        <v>40553</v>
      </c>
      <c r="C223">
        <v>1</v>
      </c>
      <c r="D223">
        <v>1</v>
      </c>
      <c r="E223">
        <v>12</v>
      </c>
      <c r="F223" t="b">
        <v>0</v>
      </c>
      <c r="G223">
        <v>1</v>
      </c>
      <c r="H223">
        <v>2</v>
      </c>
      <c r="I223">
        <v>0.2</v>
      </c>
      <c r="J223">
        <v>0.18179999999999999</v>
      </c>
      <c r="K223">
        <v>0.4</v>
      </c>
      <c r="L223">
        <v>0.28360000000000002</v>
      </c>
      <c r="M223">
        <v>5</v>
      </c>
      <c r="N223">
        <v>47</v>
      </c>
      <c r="O223">
        <v>52</v>
      </c>
    </row>
    <row r="224" spans="1:15" x14ac:dyDescent="0.25">
      <c r="A224">
        <v>223</v>
      </c>
      <c r="B224" s="2">
        <v>40553</v>
      </c>
      <c r="C224">
        <v>1</v>
      </c>
      <c r="D224">
        <v>1</v>
      </c>
      <c r="E224">
        <v>13</v>
      </c>
      <c r="F224" t="b">
        <v>0</v>
      </c>
      <c r="G224">
        <v>1</v>
      </c>
      <c r="H224">
        <v>2</v>
      </c>
      <c r="I224">
        <v>0.2</v>
      </c>
      <c r="J224">
        <v>0.18179999999999999</v>
      </c>
      <c r="K224">
        <v>0.4</v>
      </c>
      <c r="L224">
        <v>0.28360000000000002</v>
      </c>
      <c r="M224">
        <v>4</v>
      </c>
      <c r="N224">
        <v>50</v>
      </c>
      <c r="O224">
        <v>54</v>
      </c>
    </row>
    <row r="225" spans="1:15" x14ac:dyDescent="0.25">
      <c r="A225">
        <v>224</v>
      </c>
      <c r="B225" s="2">
        <v>40553</v>
      </c>
      <c r="C225">
        <v>1</v>
      </c>
      <c r="D225">
        <v>1</v>
      </c>
      <c r="E225">
        <v>14</v>
      </c>
      <c r="F225" t="b">
        <v>0</v>
      </c>
      <c r="G225">
        <v>1</v>
      </c>
      <c r="H225">
        <v>2</v>
      </c>
      <c r="I225">
        <v>0.2</v>
      </c>
      <c r="J225">
        <v>0.19700000000000001</v>
      </c>
      <c r="K225">
        <v>0.4</v>
      </c>
      <c r="L225">
        <v>0.22389999999999999</v>
      </c>
      <c r="M225">
        <v>0</v>
      </c>
      <c r="N225">
        <v>47</v>
      </c>
      <c r="O225">
        <v>47</v>
      </c>
    </row>
    <row r="226" spans="1:15" x14ac:dyDescent="0.25">
      <c r="A226">
        <v>225</v>
      </c>
      <c r="B226" s="2">
        <v>40553</v>
      </c>
      <c r="C226">
        <v>1</v>
      </c>
      <c r="D226">
        <v>1</v>
      </c>
      <c r="E226">
        <v>15</v>
      </c>
      <c r="F226" t="b">
        <v>0</v>
      </c>
      <c r="G226">
        <v>1</v>
      </c>
      <c r="H226">
        <v>2</v>
      </c>
      <c r="I226">
        <v>0.2</v>
      </c>
      <c r="J226">
        <v>0.19700000000000001</v>
      </c>
      <c r="K226">
        <v>0.4</v>
      </c>
      <c r="L226">
        <v>0.22389999999999999</v>
      </c>
      <c r="M226">
        <v>2</v>
      </c>
      <c r="N226">
        <v>43</v>
      </c>
      <c r="O226">
        <v>45</v>
      </c>
    </row>
    <row r="227" spans="1:15" x14ac:dyDescent="0.25">
      <c r="A227">
        <v>226</v>
      </c>
      <c r="B227" s="2">
        <v>40553</v>
      </c>
      <c r="C227">
        <v>1</v>
      </c>
      <c r="D227">
        <v>1</v>
      </c>
      <c r="E227">
        <v>16</v>
      </c>
      <c r="F227" t="b">
        <v>0</v>
      </c>
      <c r="G227">
        <v>1</v>
      </c>
      <c r="H227">
        <v>1</v>
      </c>
      <c r="I227">
        <v>0.2</v>
      </c>
      <c r="J227">
        <v>0.21210000000000001</v>
      </c>
      <c r="K227">
        <v>0.4</v>
      </c>
      <c r="L227">
        <v>0.1343</v>
      </c>
      <c r="M227">
        <v>4</v>
      </c>
      <c r="N227">
        <v>70</v>
      </c>
      <c r="O227">
        <v>74</v>
      </c>
    </row>
    <row r="228" spans="1:15" x14ac:dyDescent="0.25">
      <c r="A228">
        <v>227</v>
      </c>
      <c r="B228" s="2">
        <v>40553</v>
      </c>
      <c r="C228">
        <v>1</v>
      </c>
      <c r="D228">
        <v>1</v>
      </c>
      <c r="E228">
        <v>17</v>
      </c>
      <c r="F228" t="b">
        <v>0</v>
      </c>
      <c r="G228">
        <v>1</v>
      </c>
      <c r="H228">
        <v>1</v>
      </c>
      <c r="I228">
        <v>0.2</v>
      </c>
      <c r="J228">
        <v>0.2273</v>
      </c>
      <c r="K228">
        <v>0.4</v>
      </c>
      <c r="L228">
        <v>0.1045</v>
      </c>
      <c r="M228">
        <v>4</v>
      </c>
      <c r="N228">
        <v>174</v>
      </c>
      <c r="O228">
        <v>178</v>
      </c>
    </row>
    <row r="229" spans="1:15" x14ac:dyDescent="0.25">
      <c r="A229">
        <v>228</v>
      </c>
      <c r="B229" s="2">
        <v>40553</v>
      </c>
      <c r="C229">
        <v>1</v>
      </c>
      <c r="D229">
        <v>1</v>
      </c>
      <c r="E229">
        <v>18</v>
      </c>
      <c r="F229" t="b">
        <v>0</v>
      </c>
      <c r="G229">
        <v>1</v>
      </c>
      <c r="H229">
        <v>1</v>
      </c>
      <c r="I229">
        <v>0.2</v>
      </c>
      <c r="J229">
        <v>0.19700000000000001</v>
      </c>
      <c r="K229">
        <v>0.4</v>
      </c>
      <c r="L229">
        <v>0.22389999999999999</v>
      </c>
      <c r="M229">
        <v>1</v>
      </c>
      <c r="N229">
        <v>154</v>
      </c>
      <c r="O229">
        <v>155</v>
      </c>
    </row>
    <row r="230" spans="1:15" x14ac:dyDescent="0.25">
      <c r="A230">
        <v>229</v>
      </c>
      <c r="B230" s="2">
        <v>40553</v>
      </c>
      <c r="C230">
        <v>1</v>
      </c>
      <c r="D230">
        <v>1</v>
      </c>
      <c r="E230">
        <v>19</v>
      </c>
      <c r="F230" t="b">
        <v>0</v>
      </c>
      <c r="G230">
        <v>1</v>
      </c>
      <c r="H230">
        <v>1</v>
      </c>
      <c r="I230">
        <v>0.16</v>
      </c>
      <c r="J230">
        <v>0.16669999999999999</v>
      </c>
      <c r="K230">
        <v>0.47</v>
      </c>
      <c r="L230">
        <v>0.16420000000000001</v>
      </c>
      <c r="M230">
        <v>3</v>
      </c>
      <c r="N230">
        <v>92</v>
      </c>
      <c r="O230">
        <v>95</v>
      </c>
    </row>
    <row r="231" spans="1:15" x14ac:dyDescent="0.25">
      <c r="A231">
        <v>230</v>
      </c>
      <c r="B231" s="2">
        <v>40553</v>
      </c>
      <c r="C231">
        <v>1</v>
      </c>
      <c r="D231">
        <v>1</v>
      </c>
      <c r="E231">
        <v>20</v>
      </c>
      <c r="F231" t="b">
        <v>0</v>
      </c>
      <c r="G231">
        <v>1</v>
      </c>
      <c r="H231">
        <v>1</v>
      </c>
      <c r="I231">
        <v>0.16</v>
      </c>
      <c r="J231">
        <v>0.16669999999999999</v>
      </c>
      <c r="K231">
        <v>0.5</v>
      </c>
      <c r="L231">
        <v>0.16420000000000001</v>
      </c>
      <c r="M231">
        <v>1</v>
      </c>
      <c r="N231">
        <v>73</v>
      </c>
      <c r="O231">
        <v>74</v>
      </c>
    </row>
    <row r="232" spans="1:15" x14ac:dyDescent="0.25">
      <c r="A232">
        <v>231</v>
      </c>
      <c r="B232" s="2">
        <v>40553</v>
      </c>
      <c r="C232">
        <v>1</v>
      </c>
      <c r="D232">
        <v>1</v>
      </c>
      <c r="E232">
        <v>21</v>
      </c>
      <c r="F232" t="b">
        <v>0</v>
      </c>
      <c r="G232">
        <v>1</v>
      </c>
      <c r="H232">
        <v>1</v>
      </c>
      <c r="I232">
        <v>0.14000000000000001</v>
      </c>
      <c r="J232">
        <v>0.13639999999999999</v>
      </c>
      <c r="K232">
        <v>0.59</v>
      </c>
      <c r="L232">
        <v>0.19400000000000001</v>
      </c>
      <c r="M232">
        <v>1</v>
      </c>
      <c r="N232">
        <v>37</v>
      </c>
      <c r="O232">
        <v>38</v>
      </c>
    </row>
    <row r="233" spans="1:15" x14ac:dyDescent="0.25">
      <c r="A233">
        <v>232</v>
      </c>
      <c r="B233" s="2">
        <v>40553</v>
      </c>
      <c r="C233">
        <v>1</v>
      </c>
      <c r="D233">
        <v>1</v>
      </c>
      <c r="E233">
        <v>22</v>
      </c>
      <c r="F233" t="b">
        <v>0</v>
      </c>
      <c r="G233">
        <v>1</v>
      </c>
      <c r="H233">
        <v>1</v>
      </c>
      <c r="I233">
        <v>0.14000000000000001</v>
      </c>
      <c r="J233">
        <v>0.1515</v>
      </c>
      <c r="K233">
        <v>0.59</v>
      </c>
      <c r="L233">
        <v>0.16420000000000001</v>
      </c>
      <c r="M233">
        <v>2</v>
      </c>
      <c r="N233">
        <v>22</v>
      </c>
      <c r="O233">
        <v>24</v>
      </c>
    </row>
    <row r="234" spans="1:15" x14ac:dyDescent="0.25">
      <c r="A234">
        <v>233</v>
      </c>
      <c r="B234" s="2">
        <v>40553</v>
      </c>
      <c r="C234">
        <v>1</v>
      </c>
      <c r="D234">
        <v>1</v>
      </c>
      <c r="E234">
        <v>23</v>
      </c>
      <c r="F234" t="b">
        <v>0</v>
      </c>
      <c r="G234">
        <v>1</v>
      </c>
      <c r="H234">
        <v>1</v>
      </c>
      <c r="I234">
        <v>0.14000000000000001</v>
      </c>
      <c r="J234">
        <v>0.1515</v>
      </c>
      <c r="K234">
        <v>0.59</v>
      </c>
      <c r="L234">
        <v>0.16420000000000001</v>
      </c>
      <c r="M234">
        <v>0</v>
      </c>
      <c r="N234">
        <v>18</v>
      </c>
      <c r="O234">
        <v>18</v>
      </c>
    </row>
    <row r="235" spans="1:15" x14ac:dyDescent="0.25">
      <c r="A235">
        <v>234</v>
      </c>
      <c r="B235" s="2">
        <v>40554</v>
      </c>
      <c r="C235">
        <v>1</v>
      </c>
      <c r="D235">
        <v>1</v>
      </c>
      <c r="E235">
        <v>0</v>
      </c>
      <c r="F235" t="b">
        <v>0</v>
      </c>
      <c r="G235">
        <v>2</v>
      </c>
      <c r="H235">
        <v>1</v>
      </c>
      <c r="I235">
        <v>0.14000000000000001</v>
      </c>
      <c r="J235">
        <v>0.16669999999999999</v>
      </c>
      <c r="K235">
        <v>0.59</v>
      </c>
      <c r="L235">
        <v>0.1045</v>
      </c>
      <c r="M235">
        <v>2</v>
      </c>
      <c r="N235">
        <v>10</v>
      </c>
      <c r="O235">
        <v>12</v>
      </c>
    </row>
    <row r="236" spans="1:15" x14ac:dyDescent="0.25">
      <c r="A236">
        <v>235</v>
      </c>
      <c r="B236" s="2">
        <v>40554</v>
      </c>
      <c r="C236">
        <v>1</v>
      </c>
      <c r="D236">
        <v>1</v>
      </c>
      <c r="E236">
        <v>1</v>
      </c>
      <c r="F236" t="b">
        <v>0</v>
      </c>
      <c r="G236">
        <v>2</v>
      </c>
      <c r="H236">
        <v>1</v>
      </c>
      <c r="I236">
        <v>0.14000000000000001</v>
      </c>
      <c r="J236">
        <v>0.1515</v>
      </c>
      <c r="K236">
        <v>0.59</v>
      </c>
      <c r="L236">
        <v>0.16420000000000001</v>
      </c>
      <c r="M236">
        <v>0</v>
      </c>
      <c r="N236">
        <v>3</v>
      </c>
      <c r="O236">
        <v>3</v>
      </c>
    </row>
    <row r="237" spans="1:15" x14ac:dyDescent="0.25">
      <c r="A237">
        <v>236</v>
      </c>
      <c r="B237" s="2">
        <v>40554</v>
      </c>
      <c r="C237">
        <v>1</v>
      </c>
      <c r="D237">
        <v>1</v>
      </c>
      <c r="E237">
        <v>2</v>
      </c>
      <c r="F237" t="b">
        <v>0</v>
      </c>
      <c r="G237">
        <v>2</v>
      </c>
      <c r="H237">
        <v>2</v>
      </c>
      <c r="I237">
        <v>0.16</v>
      </c>
      <c r="J237">
        <v>0.1515</v>
      </c>
      <c r="K237">
        <v>0.55000000000000004</v>
      </c>
      <c r="L237">
        <v>0.19400000000000001</v>
      </c>
      <c r="M237">
        <v>0</v>
      </c>
      <c r="N237">
        <v>3</v>
      </c>
      <c r="O237">
        <v>3</v>
      </c>
    </row>
    <row r="238" spans="1:15" x14ac:dyDescent="0.25">
      <c r="A238">
        <v>237</v>
      </c>
      <c r="B238" s="2">
        <v>40554</v>
      </c>
      <c r="C238">
        <v>1</v>
      </c>
      <c r="D238">
        <v>1</v>
      </c>
      <c r="E238">
        <v>5</v>
      </c>
      <c r="F238" t="b">
        <v>0</v>
      </c>
      <c r="G238">
        <v>2</v>
      </c>
      <c r="H238">
        <v>2</v>
      </c>
      <c r="I238">
        <v>0.16</v>
      </c>
      <c r="J238">
        <v>0.18179999999999999</v>
      </c>
      <c r="K238">
        <v>0.55000000000000004</v>
      </c>
      <c r="L238">
        <v>0.1343</v>
      </c>
      <c r="M238">
        <v>0</v>
      </c>
      <c r="N238">
        <v>6</v>
      </c>
      <c r="O238">
        <v>6</v>
      </c>
    </row>
    <row r="239" spans="1:15" x14ac:dyDescent="0.25">
      <c r="A239">
        <v>238</v>
      </c>
      <c r="B239" s="2">
        <v>40554</v>
      </c>
      <c r="C239">
        <v>1</v>
      </c>
      <c r="D239">
        <v>1</v>
      </c>
      <c r="E239">
        <v>6</v>
      </c>
      <c r="F239" t="b">
        <v>0</v>
      </c>
      <c r="G239">
        <v>2</v>
      </c>
      <c r="H239">
        <v>2</v>
      </c>
      <c r="I239">
        <v>0.16</v>
      </c>
      <c r="J239">
        <v>0.18179999999999999</v>
      </c>
      <c r="K239">
        <v>0.55000000000000004</v>
      </c>
      <c r="L239">
        <v>0.1343</v>
      </c>
      <c r="M239">
        <v>0</v>
      </c>
      <c r="N239">
        <v>27</v>
      </c>
      <c r="O239">
        <v>27</v>
      </c>
    </row>
    <row r="240" spans="1:15" x14ac:dyDescent="0.25">
      <c r="A240">
        <v>239</v>
      </c>
      <c r="B240" s="2">
        <v>40554</v>
      </c>
      <c r="C240">
        <v>1</v>
      </c>
      <c r="D240">
        <v>1</v>
      </c>
      <c r="E240">
        <v>7</v>
      </c>
      <c r="F240" t="b">
        <v>0</v>
      </c>
      <c r="G240">
        <v>2</v>
      </c>
      <c r="H240">
        <v>2</v>
      </c>
      <c r="I240">
        <v>0.16</v>
      </c>
      <c r="J240">
        <v>0.2273</v>
      </c>
      <c r="K240">
        <v>0.55000000000000004</v>
      </c>
      <c r="L240">
        <v>0.38865000000000005</v>
      </c>
      <c r="M240">
        <v>2</v>
      </c>
      <c r="N240">
        <v>97</v>
      </c>
      <c r="O240">
        <v>99</v>
      </c>
    </row>
    <row r="241" spans="1:15" x14ac:dyDescent="0.25">
      <c r="A241">
        <v>240</v>
      </c>
      <c r="B241" s="2">
        <v>40554</v>
      </c>
      <c r="C241">
        <v>1</v>
      </c>
      <c r="D241">
        <v>1</v>
      </c>
      <c r="E241">
        <v>8</v>
      </c>
      <c r="F241" t="b">
        <v>0</v>
      </c>
      <c r="G241">
        <v>2</v>
      </c>
      <c r="H241">
        <v>2</v>
      </c>
      <c r="I241">
        <v>0.18</v>
      </c>
      <c r="J241">
        <v>0.21210000000000001</v>
      </c>
      <c r="K241">
        <v>0.51</v>
      </c>
      <c r="L241">
        <v>8.9599999999999999E-2</v>
      </c>
      <c r="M241">
        <v>3</v>
      </c>
      <c r="N241">
        <v>214</v>
      </c>
      <c r="O241">
        <v>217</v>
      </c>
    </row>
    <row r="242" spans="1:15" x14ac:dyDescent="0.25">
      <c r="A242">
        <v>241</v>
      </c>
      <c r="B242" s="2">
        <v>40554</v>
      </c>
      <c r="C242">
        <v>1</v>
      </c>
      <c r="D242">
        <v>1</v>
      </c>
      <c r="E242">
        <v>9</v>
      </c>
      <c r="F242" t="b">
        <v>0</v>
      </c>
      <c r="G242">
        <v>2</v>
      </c>
      <c r="H242">
        <v>2</v>
      </c>
      <c r="I242">
        <v>0.18</v>
      </c>
      <c r="J242">
        <v>0.19700000000000001</v>
      </c>
      <c r="K242">
        <v>0.51</v>
      </c>
      <c r="L242">
        <v>0.16420000000000001</v>
      </c>
      <c r="M242">
        <v>3</v>
      </c>
      <c r="N242">
        <v>127</v>
      </c>
      <c r="O242">
        <v>130</v>
      </c>
    </row>
    <row r="243" spans="1:15" x14ac:dyDescent="0.25">
      <c r="A243">
        <v>242</v>
      </c>
      <c r="B243" s="2">
        <v>40554</v>
      </c>
      <c r="C243">
        <v>1</v>
      </c>
      <c r="D243">
        <v>1</v>
      </c>
      <c r="E243">
        <v>10</v>
      </c>
      <c r="F243" t="b">
        <v>0</v>
      </c>
      <c r="G243">
        <v>2</v>
      </c>
      <c r="H243">
        <v>2</v>
      </c>
      <c r="I243">
        <v>0.2</v>
      </c>
      <c r="J243">
        <v>0.21210000000000001</v>
      </c>
      <c r="K243">
        <v>0.51</v>
      </c>
      <c r="L243">
        <v>0.16420000000000001</v>
      </c>
      <c r="M243">
        <v>3</v>
      </c>
      <c r="N243">
        <v>51</v>
      </c>
      <c r="O243">
        <v>54</v>
      </c>
    </row>
    <row r="244" spans="1:15" x14ac:dyDescent="0.25">
      <c r="A244">
        <v>243</v>
      </c>
      <c r="B244" s="2">
        <v>40554</v>
      </c>
      <c r="C244">
        <v>1</v>
      </c>
      <c r="D244">
        <v>1</v>
      </c>
      <c r="E244">
        <v>11</v>
      </c>
      <c r="F244" t="b">
        <v>0</v>
      </c>
      <c r="G244">
        <v>2</v>
      </c>
      <c r="H244">
        <v>2</v>
      </c>
      <c r="I244">
        <v>0.2</v>
      </c>
      <c r="J244">
        <v>0.21210000000000001</v>
      </c>
      <c r="K244">
        <v>0.47</v>
      </c>
      <c r="L244">
        <v>0.1343</v>
      </c>
      <c r="M244">
        <v>4</v>
      </c>
      <c r="N244">
        <v>31</v>
      </c>
      <c r="O244">
        <v>35</v>
      </c>
    </row>
    <row r="245" spans="1:15" x14ac:dyDescent="0.25">
      <c r="A245">
        <v>244</v>
      </c>
      <c r="B245" s="2">
        <v>40554</v>
      </c>
      <c r="C245">
        <v>1</v>
      </c>
      <c r="D245">
        <v>1</v>
      </c>
      <c r="E245">
        <v>12</v>
      </c>
      <c r="F245" t="b">
        <v>0</v>
      </c>
      <c r="G245">
        <v>2</v>
      </c>
      <c r="H245">
        <v>2</v>
      </c>
      <c r="I245">
        <v>0.2</v>
      </c>
      <c r="J245">
        <v>0.2273</v>
      </c>
      <c r="K245">
        <v>0.51</v>
      </c>
      <c r="L245">
        <v>0.1045</v>
      </c>
      <c r="M245">
        <v>2</v>
      </c>
      <c r="N245">
        <v>55</v>
      </c>
      <c r="O245">
        <v>57</v>
      </c>
    </row>
    <row r="246" spans="1:15" x14ac:dyDescent="0.25">
      <c r="A246">
        <v>245</v>
      </c>
      <c r="B246" s="2">
        <v>40554</v>
      </c>
      <c r="C246">
        <v>1</v>
      </c>
      <c r="D246">
        <v>1</v>
      </c>
      <c r="E246">
        <v>13</v>
      </c>
      <c r="F246" t="b">
        <v>0</v>
      </c>
      <c r="G246">
        <v>2</v>
      </c>
      <c r="H246">
        <v>2</v>
      </c>
      <c r="I246">
        <v>0.2</v>
      </c>
      <c r="J246">
        <v>0.2273</v>
      </c>
      <c r="K246">
        <v>0.59</v>
      </c>
      <c r="L246">
        <v>8.9599999999999999E-2</v>
      </c>
      <c r="M246">
        <v>6</v>
      </c>
      <c r="N246">
        <v>46</v>
      </c>
      <c r="O246">
        <v>52</v>
      </c>
    </row>
    <row r="247" spans="1:15" x14ac:dyDescent="0.25">
      <c r="A247">
        <v>246</v>
      </c>
      <c r="B247" s="2">
        <v>40554</v>
      </c>
      <c r="C247">
        <v>1</v>
      </c>
      <c r="D247">
        <v>1</v>
      </c>
      <c r="E247">
        <v>14</v>
      </c>
      <c r="F247" t="b">
        <v>0</v>
      </c>
      <c r="G247">
        <v>2</v>
      </c>
      <c r="H247">
        <v>2</v>
      </c>
      <c r="I247">
        <v>0.2</v>
      </c>
      <c r="J247">
        <v>0.2273</v>
      </c>
      <c r="K247">
        <v>0.59</v>
      </c>
      <c r="L247">
        <v>8.9599999999999999E-2</v>
      </c>
      <c r="M247">
        <v>3</v>
      </c>
      <c r="N247">
        <v>60</v>
      </c>
      <c r="O247">
        <v>63</v>
      </c>
    </row>
    <row r="248" spans="1:15" x14ac:dyDescent="0.25">
      <c r="A248">
        <v>247</v>
      </c>
      <c r="B248" s="2">
        <v>40554</v>
      </c>
      <c r="C248">
        <v>1</v>
      </c>
      <c r="D248">
        <v>1</v>
      </c>
      <c r="E248">
        <v>15</v>
      </c>
      <c r="F248" t="b">
        <v>0</v>
      </c>
      <c r="G248">
        <v>2</v>
      </c>
      <c r="H248">
        <v>2</v>
      </c>
      <c r="I248">
        <v>0.16</v>
      </c>
      <c r="J248">
        <v>0.19700000000000001</v>
      </c>
      <c r="K248">
        <v>0.8</v>
      </c>
      <c r="L248">
        <v>8.9599999999999999E-2</v>
      </c>
      <c r="M248">
        <v>2</v>
      </c>
      <c r="N248">
        <v>45</v>
      </c>
      <c r="O248">
        <v>47</v>
      </c>
    </row>
    <row r="249" spans="1:15" x14ac:dyDescent="0.25">
      <c r="A249">
        <v>248</v>
      </c>
      <c r="B249" s="2">
        <v>40554</v>
      </c>
      <c r="C249">
        <v>1</v>
      </c>
      <c r="D249">
        <v>1</v>
      </c>
      <c r="E249">
        <v>16</v>
      </c>
      <c r="F249" t="b">
        <v>0</v>
      </c>
      <c r="G249">
        <v>2</v>
      </c>
      <c r="H249">
        <v>2</v>
      </c>
      <c r="I249">
        <v>0.16</v>
      </c>
      <c r="J249">
        <v>0.1515</v>
      </c>
      <c r="K249">
        <v>0.86</v>
      </c>
      <c r="L249">
        <v>0.22389999999999999</v>
      </c>
      <c r="M249">
        <v>4</v>
      </c>
      <c r="N249">
        <v>72</v>
      </c>
      <c r="O249">
        <v>76</v>
      </c>
    </row>
    <row r="250" spans="1:15" x14ac:dyDescent="0.25">
      <c r="A250">
        <v>249</v>
      </c>
      <c r="B250" s="2">
        <v>40554</v>
      </c>
      <c r="C250">
        <v>1</v>
      </c>
      <c r="D250">
        <v>1</v>
      </c>
      <c r="E250">
        <v>17</v>
      </c>
      <c r="F250" t="b">
        <v>0</v>
      </c>
      <c r="G250">
        <v>2</v>
      </c>
      <c r="H250">
        <v>2</v>
      </c>
      <c r="I250">
        <v>0.16</v>
      </c>
      <c r="J250">
        <v>0.1515</v>
      </c>
      <c r="K250">
        <v>0.86</v>
      </c>
      <c r="L250">
        <v>0.22389999999999999</v>
      </c>
      <c r="M250">
        <v>6</v>
      </c>
      <c r="N250">
        <v>130</v>
      </c>
      <c r="O250">
        <v>136</v>
      </c>
    </row>
    <row r="251" spans="1:15" x14ac:dyDescent="0.25">
      <c r="A251">
        <v>250</v>
      </c>
      <c r="B251" s="2">
        <v>40554</v>
      </c>
      <c r="C251">
        <v>1</v>
      </c>
      <c r="D251">
        <v>1</v>
      </c>
      <c r="E251">
        <v>18</v>
      </c>
      <c r="F251" t="b">
        <v>0</v>
      </c>
      <c r="G251">
        <v>2</v>
      </c>
      <c r="H251">
        <v>3</v>
      </c>
      <c r="I251">
        <v>0.16</v>
      </c>
      <c r="J251">
        <v>0.18179999999999999</v>
      </c>
      <c r="K251">
        <v>0.93</v>
      </c>
      <c r="L251">
        <v>0.1045</v>
      </c>
      <c r="M251">
        <v>1</v>
      </c>
      <c r="N251">
        <v>94</v>
      </c>
      <c r="O251">
        <v>95</v>
      </c>
    </row>
    <row r="252" spans="1:15" x14ac:dyDescent="0.25">
      <c r="A252">
        <v>251</v>
      </c>
      <c r="B252" s="2">
        <v>40554</v>
      </c>
      <c r="C252">
        <v>1</v>
      </c>
      <c r="D252">
        <v>1</v>
      </c>
      <c r="E252">
        <v>19</v>
      </c>
      <c r="F252" t="b">
        <v>0</v>
      </c>
      <c r="G252">
        <v>2</v>
      </c>
      <c r="H252">
        <v>3</v>
      </c>
      <c r="I252">
        <v>0.16</v>
      </c>
      <c r="J252">
        <v>0.2273</v>
      </c>
      <c r="K252">
        <v>0.93</v>
      </c>
      <c r="L252">
        <v>0.57865</v>
      </c>
      <c r="M252">
        <v>0</v>
      </c>
      <c r="N252">
        <v>51</v>
      </c>
      <c r="O252">
        <v>51</v>
      </c>
    </row>
    <row r="253" spans="1:15" x14ac:dyDescent="0.25">
      <c r="A253">
        <v>252</v>
      </c>
      <c r="B253" s="2">
        <v>40554</v>
      </c>
      <c r="C253">
        <v>1</v>
      </c>
      <c r="D253">
        <v>1</v>
      </c>
      <c r="E253">
        <v>20</v>
      </c>
      <c r="F253" t="b">
        <v>0</v>
      </c>
      <c r="G253">
        <v>2</v>
      </c>
      <c r="H253">
        <v>3</v>
      </c>
      <c r="I253">
        <v>0.16</v>
      </c>
      <c r="J253">
        <v>0.1515</v>
      </c>
      <c r="K253">
        <v>0.93</v>
      </c>
      <c r="L253">
        <v>0.19400000000000001</v>
      </c>
      <c r="M253">
        <v>0</v>
      </c>
      <c r="N253">
        <v>32</v>
      </c>
      <c r="O253">
        <v>32</v>
      </c>
    </row>
    <row r="254" spans="1:15" x14ac:dyDescent="0.25">
      <c r="A254">
        <v>253</v>
      </c>
      <c r="B254" s="2">
        <v>40554</v>
      </c>
      <c r="C254">
        <v>1</v>
      </c>
      <c r="D254">
        <v>1</v>
      </c>
      <c r="E254">
        <v>21</v>
      </c>
      <c r="F254" t="b">
        <v>0</v>
      </c>
      <c r="G254">
        <v>2</v>
      </c>
      <c r="H254">
        <v>3</v>
      </c>
      <c r="I254">
        <v>0.16</v>
      </c>
      <c r="J254">
        <v>0.19700000000000001</v>
      </c>
      <c r="K254">
        <v>0.86</v>
      </c>
      <c r="L254">
        <v>8.9599999999999999E-2</v>
      </c>
      <c r="M254">
        <v>0</v>
      </c>
      <c r="N254">
        <v>20</v>
      </c>
      <c r="O254">
        <v>20</v>
      </c>
    </row>
    <row r="255" spans="1:15" x14ac:dyDescent="0.25">
      <c r="A255">
        <v>254</v>
      </c>
      <c r="B255" s="2">
        <v>40554</v>
      </c>
      <c r="C255">
        <v>1</v>
      </c>
      <c r="D255">
        <v>1</v>
      </c>
      <c r="E255">
        <v>22</v>
      </c>
      <c r="F255" t="b">
        <v>0</v>
      </c>
      <c r="G255">
        <v>2</v>
      </c>
      <c r="H255">
        <v>3</v>
      </c>
      <c r="I255">
        <v>0.16</v>
      </c>
      <c r="J255">
        <v>0.18179999999999999</v>
      </c>
      <c r="K255">
        <v>0.93</v>
      </c>
      <c r="L255">
        <v>0.1045</v>
      </c>
      <c r="M255">
        <v>1</v>
      </c>
      <c r="N255">
        <v>28</v>
      </c>
      <c r="O255">
        <v>29</v>
      </c>
    </row>
    <row r="256" spans="1:15" x14ac:dyDescent="0.25">
      <c r="A256">
        <v>255</v>
      </c>
      <c r="B256" s="2">
        <v>40554</v>
      </c>
      <c r="C256">
        <v>1</v>
      </c>
      <c r="D256">
        <v>1</v>
      </c>
      <c r="E256">
        <v>23</v>
      </c>
      <c r="F256" t="b">
        <v>0</v>
      </c>
      <c r="G256">
        <v>2</v>
      </c>
      <c r="H256">
        <v>3</v>
      </c>
      <c r="I256">
        <v>0.16</v>
      </c>
      <c r="J256">
        <v>0.19700000000000001</v>
      </c>
      <c r="K256">
        <v>0.93</v>
      </c>
      <c r="L256">
        <v>8.9599999999999999E-2</v>
      </c>
      <c r="M256">
        <v>1</v>
      </c>
      <c r="N256">
        <v>18</v>
      </c>
      <c r="O256">
        <v>19</v>
      </c>
    </row>
    <row r="257" spans="1:15" x14ac:dyDescent="0.25">
      <c r="A257">
        <v>256</v>
      </c>
      <c r="B257" s="2">
        <v>40555</v>
      </c>
      <c r="C257">
        <v>1</v>
      </c>
      <c r="D257">
        <v>1</v>
      </c>
      <c r="E257">
        <v>0</v>
      </c>
      <c r="F257" t="b">
        <v>0</v>
      </c>
      <c r="G257">
        <v>3</v>
      </c>
      <c r="H257">
        <v>2</v>
      </c>
      <c r="I257">
        <v>0.16</v>
      </c>
      <c r="J257">
        <v>0.19700000000000001</v>
      </c>
      <c r="K257">
        <v>0.86</v>
      </c>
      <c r="L257">
        <v>8.9599999999999999E-2</v>
      </c>
      <c r="M257">
        <v>0</v>
      </c>
      <c r="N257">
        <v>7</v>
      </c>
      <c r="O257">
        <v>7</v>
      </c>
    </row>
    <row r="258" spans="1:15" x14ac:dyDescent="0.25">
      <c r="A258">
        <v>257</v>
      </c>
      <c r="B258" s="2">
        <v>40555</v>
      </c>
      <c r="C258">
        <v>1</v>
      </c>
      <c r="D258">
        <v>1</v>
      </c>
      <c r="E258">
        <v>1</v>
      </c>
      <c r="F258" t="b">
        <v>0</v>
      </c>
      <c r="G258">
        <v>3</v>
      </c>
      <c r="H258">
        <v>2</v>
      </c>
      <c r="I258">
        <v>0.16</v>
      </c>
      <c r="J258">
        <v>0.18179999999999999</v>
      </c>
      <c r="K258">
        <v>0.86</v>
      </c>
      <c r="L258">
        <v>0.1045</v>
      </c>
      <c r="M258">
        <v>0</v>
      </c>
      <c r="N258">
        <v>6</v>
      </c>
      <c r="O258">
        <v>6</v>
      </c>
    </row>
    <row r="259" spans="1:15" x14ac:dyDescent="0.25">
      <c r="A259">
        <v>258</v>
      </c>
      <c r="B259" s="2">
        <v>40555</v>
      </c>
      <c r="C259">
        <v>1</v>
      </c>
      <c r="D259">
        <v>1</v>
      </c>
      <c r="E259">
        <v>2</v>
      </c>
      <c r="F259" t="b">
        <v>0</v>
      </c>
      <c r="G259">
        <v>3</v>
      </c>
      <c r="H259">
        <v>1</v>
      </c>
      <c r="I259">
        <v>0.14000000000000001</v>
      </c>
      <c r="J259">
        <v>0.1515</v>
      </c>
      <c r="K259">
        <v>0.86</v>
      </c>
      <c r="L259">
        <v>0.1343</v>
      </c>
      <c r="M259">
        <v>0</v>
      </c>
      <c r="N259">
        <v>1</v>
      </c>
      <c r="O259">
        <v>1</v>
      </c>
    </row>
    <row r="260" spans="1:15" x14ac:dyDescent="0.25">
      <c r="A260">
        <v>259</v>
      </c>
      <c r="B260" s="2">
        <v>40555</v>
      </c>
      <c r="C260">
        <v>1</v>
      </c>
      <c r="D260">
        <v>1</v>
      </c>
      <c r="E260">
        <v>5</v>
      </c>
      <c r="F260" t="b">
        <v>0</v>
      </c>
      <c r="G260">
        <v>3</v>
      </c>
      <c r="H260">
        <v>1</v>
      </c>
      <c r="I260">
        <v>0.14000000000000001</v>
      </c>
      <c r="J260">
        <v>0.1515</v>
      </c>
      <c r="K260">
        <v>0.86</v>
      </c>
      <c r="L260">
        <v>0.16420000000000001</v>
      </c>
      <c r="M260">
        <v>0</v>
      </c>
      <c r="N260">
        <v>5</v>
      </c>
      <c r="O260">
        <v>5</v>
      </c>
    </row>
    <row r="261" spans="1:15" x14ac:dyDescent="0.25">
      <c r="A261">
        <v>260</v>
      </c>
      <c r="B261" s="2">
        <v>40555</v>
      </c>
      <c r="C261">
        <v>1</v>
      </c>
      <c r="D261">
        <v>1</v>
      </c>
      <c r="E261">
        <v>6</v>
      </c>
      <c r="F261" t="b">
        <v>0</v>
      </c>
      <c r="G261">
        <v>3</v>
      </c>
      <c r="H261">
        <v>1</v>
      </c>
      <c r="I261">
        <v>0.12</v>
      </c>
      <c r="J261">
        <v>0.1515</v>
      </c>
      <c r="K261">
        <v>0.93</v>
      </c>
      <c r="L261">
        <v>0.1343</v>
      </c>
      <c r="M261">
        <v>0</v>
      </c>
      <c r="N261">
        <v>16</v>
      </c>
      <c r="O261">
        <v>16</v>
      </c>
    </row>
    <row r="262" spans="1:15" x14ac:dyDescent="0.25">
      <c r="A262">
        <v>261</v>
      </c>
      <c r="B262" s="2">
        <v>40555</v>
      </c>
      <c r="C262">
        <v>1</v>
      </c>
      <c r="D262">
        <v>1</v>
      </c>
      <c r="E262">
        <v>7</v>
      </c>
      <c r="F262" t="b">
        <v>0</v>
      </c>
      <c r="G262">
        <v>3</v>
      </c>
      <c r="H262">
        <v>1</v>
      </c>
      <c r="I262">
        <v>0.14000000000000001</v>
      </c>
      <c r="J262">
        <v>0.1515</v>
      </c>
      <c r="K262">
        <v>0.69</v>
      </c>
      <c r="L262">
        <v>0.1343</v>
      </c>
      <c r="M262">
        <v>0</v>
      </c>
      <c r="N262">
        <v>54</v>
      </c>
      <c r="O262">
        <v>54</v>
      </c>
    </row>
    <row r="263" spans="1:15" x14ac:dyDescent="0.25">
      <c r="A263">
        <v>262</v>
      </c>
      <c r="B263" s="2">
        <v>40555</v>
      </c>
      <c r="C263">
        <v>1</v>
      </c>
      <c r="D263">
        <v>1</v>
      </c>
      <c r="E263">
        <v>8</v>
      </c>
      <c r="F263" t="b">
        <v>0</v>
      </c>
      <c r="G263">
        <v>3</v>
      </c>
      <c r="H263">
        <v>1</v>
      </c>
      <c r="I263">
        <v>0.16</v>
      </c>
      <c r="J263">
        <v>0.16669999999999999</v>
      </c>
      <c r="K263">
        <v>0.59</v>
      </c>
      <c r="L263">
        <v>0.16420000000000001</v>
      </c>
      <c r="M263">
        <v>3</v>
      </c>
      <c r="N263">
        <v>125</v>
      </c>
      <c r="O263">
        <v>128</v>
      </c>
    </row>
    <row r="264" spans="1:15" x14ac:dyDescent="0.25">
      <c r="A264">
        <v>263</v>
      </c>
      <c r="B264" s="2">
        <v>40555</v>
      </c>
      <c r="C264">
        <v>1</v>
      </c>
      <c r="D264">
        <v>1</v>
      </c>
      <c r="E264">
        <v>9</v>
      </c>
      <c r="F264" t="b">
        <v>0</v>
      </c>
      <c r="G264">
        <v>3</v>
      </c>
      <c r="H264">
        <v>1</v>
      </c>
      <c r="I264">
        <v>0.16</v>
      </c>
      <c r="J264">
        <v>0.13639999999999999</v>
      </c>
      <c r="K264">
        <v>0.59</v>
      </c>
      <c r="L264">
        <v>0.32840000000000003</v>
      </c>
      <c r="M264">
        <v>3</v>
      </c>
      <c r="N264">
        <v>78</v>
      </c>
      <c r="O264">
        <v>81</v>
      </c>
    </row>
    <row r="265" spans="1:15" x14ac:dyDescent="0.25">
      <c r="A265">
        <v>264</v>
      </c>
      <c r="B265" s="2">
        <v>40555</v>
      </c>
      <c r="C265">
        <v>1</v>
      </c>
      <c r="D265">
        <v>1</v>
      </c>
      <c r="E265">
        <v>10</v>
      </c>
      <c r="F265" t="b">
        <v>0</v>
      </c>
      <c r="G265">
        <v>3</v>
      </c>
      <c r="H265">
        <v>1</v>
      </c>
      <c r="I265">
        <v>0.18</v>
      </c>
      <c r="J265">
        <v>0.18179999999999999</v>
      </c>
      <c r="K265">
        <v>0.55000000000000004</v>
      </c>
      <c r="L265">
        <v>0.22389999999999999</v>
      </c>
      <c r="M265">
        <v>0</v>
      </c>
      <c r="N265">
        <v>39</v>
      </c>
      <c r="O265">
        <v>39</v>
      </c>
    </row>
    <row r="266" spans="1:15" x14ac:dyDescent="0.25">
      <c r="A266">
        <v>265</v>
      </c>
      <c r="B266" s="2">
        <v>40555</v>
      </c>
      <c r="C266">
        <v>1</v>
      </c>
      <c r="D266">
        <v>1</v>
      </c>
      <c r="E266">
        <v>11</v>
      </c>
      <c r="F266" t="b">
        <v>0</v>
      </c>
      <c r="G266">
        <v>3</v>
      </c>
      <c r="H266">
        <v>1</v>
      </c>
      <c r="I266">
        <v>0.2</v>
      </c>
      <c r="J266">
        <v>0.18179999999999999</v>
      </c>
      <c r="K266">
        <v>0.51</v>
      </c>
      <c r="L266">
        <v>0.3881</v>
      </c>
      <c r="M266">
        <v>3</v>
      </c>
      <c r="N266">
        <v>32</v>
      </c>
      <c r="O266">
        <v>35</v>
      </c>
    </row>
    <row r="267" spans="1:15" x14ac:dyDescent="0.25">
      <c r="A267">
        <v>266</v>
      </c>
      <c r="B267" s="2">
        <v>40555</v>
      </c>
      <c r="C267">
        <v>1</v>
      </c>
      <c r="D267">
        <v>1</v>
      </c>
      <c r="E267">
        <v>12</v>
      </c>
      <c r="F267" t="b">
        <v>0</v>
      </c>
      <c r="G267">
        <v>3</v>
      </c>
      <c r="H267">
        <v>1</v>
      </c>
      <c r="I267">
        <v>0.2</v>
      </c>
      <c r="J267">
        <v>0.1515</v>
      </c>
      <c r="K267">
        <v>0.47</v>
      </c>
      <c r="L267">
        <v>0.58209999999999995</v>
      </c>
      <c r="M267">
        <v>3</v>
      </c>
      <c r="N267">
        <v>52</v>
      </c>
      <c r="O267">
        <v>55</v>
      </c>
    </row>
    <row r="268" spans="1:15" x14ac:dyDescent="0.25">
      <c r="A268">
        <v>267</v>
      </c>
      <c r="B268" s="2">
        <v>40555</v>
      </c>
      <c r="C268">
        <v>1</v>
      </c>
      <c r="D268">
        <v>1</v>
      </c>
      <c r="E268">
        <v>13</v>
      </c>
      <c r="F268" t="b">
        <v>0</v>
      </c>
      <c r="G268">
        <v>3</v>
      </c>
      <c r="H268">
        <v>1</v>
      </c>
      <c r="I268">
        <v>0.22</v>
      </c>
      <c r="J268">
        <v>0.19700000000000001</v>
      </c>
      <c r="K268">
        <v>0.44</v>
      </c>
      <c r="L268">
        <v>0.35820000000000002</v>
      </c>
      <c r="M268">
        <v>0</v>
      </c>
      <c r="N268">
        <v>49</v>
      </c>
      <c r="O268">
        <v>49</v>
      </c>
    </row>
    <row r="269" spans="1:15" x14ac:dyDescent="0.25">
      <c r="A269">
        <v>268</v>
      </c>
      <c r="B269" s="2">
        <v>40555</v>
      </c>
      <c r="C269">
        <v>1</v>
      </c>
      <c r="D269">
        <v>1</v>
      </c>
      <c r="E269">
        <v>14</v>
      </c>
      <c r="F269" t="b">
        <v>0</v>
      </c>
      <c r="G269">
        <v>3</v>
      </c>
      <c r="H269">
        <v>1</v>
      </c>
      <c r="I269">
        <v>0.2</v>
      </c>
      <c r="J269">
        <v>0.18179999999999999</v>
      </c>
      <c r="K269">
        <v>0.47</v>
      </c>
      <c r="L269">
        <v>0.32840000000000003</v>
      </c>
      <c r="M269">
        <v>0</v>
      </c>
      <c r="N269">
        <v>44</v>
      </c>
      <c r="O269">
        <v>44</v>
      </c>
    </row>
    <row r="270" spans="1:15" x14ac:dyDescent="0.25">
      <c r="A270">
        <v>269</v>
      </c>
      <c r="B270" s="2">
        <v>40555</v>
      </c>
      <c r="C270">
        <v>1</v>
      </c>
      <c r="D270">
        <v>1</v>
      </c>
      <c r="E270">
        <v>15</v>
      </c>
      <c r="F270" t="b">
        <v>0</v>
      </c>
      <c r="G270">
        <v>3</v>
      </c>
      <c r="H270">
        <v>1</v>
      </c>
      <c r="I270">
        <v>0.2</v>
      </c>
      <c r="J270">
        <v>0.16669999999999999</v>
      </c>
      <c r="K270">
        <v>0.47</v>
      </c>
      <c r="L270">
        <v>0.41789999999999999</v>
      </c>
      <c r="M270">
        <v>1</v>
      </c>
      <c r="N270">
        <v>48</v>
      </c>
      <c r="O270">
        <v>49</v>
      </c>
    </row>
    <row r="271" spans="1:15" x14ac:dyDescent="0.25">
      <c r="A271">
        <v>270</v>
      </c>
      <c r="B271" s="2">
        <v>40555</v>
      </c>
      <c r="C271">
        <v>1</v>
      </c>
      <c r="D271">
        <v>1</v>
      </c>
      <c r="E271">
        <v>16</v>
      </c>
      <c r="F271" t="b">
        <v>0</v>
      </c>
      <c r="G271">
        <v>3</v>
      </c>
      <c r="H271">
        <v>1</v>
      </c>
      <c r="I271">
        <v>0.22</v>
      </c>
      <c r="J271">
        <v>0.19700000000000001</v>
      </c>
      <c r="K271">
        <v>0.44</v>
      </c>
      <c r="L271">
        <v>0.32840000000000003</v>
      </c>
      <c r="M271">
        <v>5</v>
      </c>
      <c r="N271">
        <v>63</v>
      </c>
      <c r="O271">
        <v>68</v>
      </c>
    </row>
    <row r="272" spans="1:15" x14ac:dyDescent="0.25">
      <c r="A272">
        <v>271</v>
      </c>
      <c r="B272" s="2">
        <v>40555</v>
      </c>
      <c r="C272">
        <v>1</v>
      </c>
      <c r="D272">
        <v>1</v>
      </c>
      <c r="E272">
        <v>17</v>
      </c>
      <c r="F272" t="b">
        <v>0</v>
      </c>
      <c r="G272">
        <v>3</v>
      </c>
      <c r="H272">
        <v>1</v>
      </c>
      <c r="I272">
        <v>0.2</v>
      </c>
      <c r="J272">
        <v>0.18179999999999999</v>
      </c>
      <c r="K272">
        <v>0.47</v>
      </c>
      <c r="L272">
        <v>0.35820000000000002</v>
      </c>
      <c r="M272">
        <v>0</v>
      </c>
      <c r="N272">
        <v>139</v>
      </c>
      <c r="O272">
        <v>139</v>
      </c>
    </row>
    <row r="273" spans="1:15" x14ac:dyDescent="0.25">
      <c r="A273">
        <v>272</v>
      </c>
      <c r="B273" s="2">
        <v>40555</v>
      </c>
      <c r="C273">
        <v>1</v>
      </c>
      <c r="D273">
        <v>1</v>
      </c>
      <c r="E273">
        <v>18</v>
      </c>
      <c r="F273" t="b">
        <v>0</v>
      </c>
      <c r="G273">
        <v>3</v>
      </c>
      <c r="H273">
        <v>1</v>
      </c>
      <c r="I273">
        <v>0.2</v>
      </c>
      <c r="J273">
        <v>0.1515</v>
      </c>
      <c r="K273">
        <v>0.47</v>
      </c>
      <c r="L273">
        <v>0.52239999999999998</v>
      </c>
      <c r="M273">
        <v>2</v>
      </c>
      <c r="N273">
        <v>135</v>
      </c>
      <c r="O273">
        <v>137</v>
      </c>
    </row>
    <row r="274" spans="1:15" x14ac:dyDescent="0.25">
      <c r="A274">
        <v>273</v>
      </c>
      <c r="B274" s="2">
        <v>40555</v>
      </c>
      <c r="C274">
        <v>1</v>
      </c>
      <c r="D274">
        <v>1</v>
      </c>
      <c r="E274">
        <v>19</v>
      </c>
      <c r="F274" t="b">
        <v>0</v>
      </c>
      <c r="G274">
        <v>3</v>
      </c>
      <c r="H274">
        <v>1</v>
      </c>
      <c r="I274">
        <v>0.18</v>
      </c>
      <c r="J274">
        <v>0.1515</v>
      </c>
      <c r="K274">
        <v>0.47</v>
      </c>
      <c r="L274">
        <v>0.41789999999999999</v>
      </c>
      <c r="M274">
        <v>1</v>
      </c>
      <c r="N274">
        <v>82</v>
      </c>
      <c r="O274">
        <v>83</v>
      </c>
    </row>
    <row r="275" spans="1:15" x14ac:dyDescent="0.25">
      <c r="A275">
        <v>274</v>
      </c>
      <c r="B275" s="2">
        <v>40555</v>
      </c>
      <c r="C275">
        <v>1</v>
      </c>
      <c r="D275">
        <v>1</v>
      </c>
      <c r="E275">
        <v>20</v>
      </c>
      <c r="F275" t="b">
        <v>0</v>
      </c>
      <c r="G275">
        <v>3</v>
      </c>
      <c r="H275">
        <v>1</v>
      </c>
      <c r="I275">
        <v>0.16</v>
      </c>
      <c r="J275">
        <v>0.13639999999999999</v>
      </c>
      <c r="K275">
        <v>0.5</v>
      </c>
      <c r="L275">
        <v>0.32840000000000003</v>
      </c>
      <c r="M275">
        <v>2</v>
      </c>
      <c r="N275">
        <v>54</v>
      </c>
      <c r="O275">
        <v>56</v>
      </c>
    </row>
    <row r="276" spans="1:15" x14ac:dyDescent="0.25">
      <c r="A276">
        <v>275</v>
      </c>
      <c r="B276" s="2">
        <v>40555</v>
      </c>
      <c r="C276">
        <v>1</v>
      </c>
      <c r="D276">
        <v>1</v>
      </c>
      <c r="E276">
        <v>21</v>
      </c>
      <c r="F276" t="b">
        <v>0</v>
      </c>
      <c r="G276">
        <v>3</v>
      </c>
      <c r="H276">
        <v>1</v>
      </c>
      <c r="I276">
        <v>0.16</v>
      </c>
      <c r="J276">
        <v>0.13639999999999999</v>
      </c>
      <c r="K276">
        <v>0.55000000000000004</v>
      </c>
      <c r="L276">
        <v>0.32840000000000003</v>
      </c>
      <c r="M276">
        <v>0</v>
      </c>
      <c r="N276">
        <v>57</v>
      </c>
      <c r="O276">
        <v>57</v>
      </c>
    </row>
    <row r="277" spans="1:15" x14ac:dyDescent="0.25">
      <c r="A277">
        <v>276</v>
      </c>
      <c r="B277" s="2">
        <v>40555</v>
      </c>
      <c r="C277">
        <v>1</v>
      </c>
      <c r="D277">
        <v>1</v>
      </c>
      <c r="E277">
        <v>22</v>
      </c>
      <c r="F277" t="b">
        <v>0</v>
      </c>
      <c r="G277">
        <v>3</v>
      </c>
      <c r="H277">
        <v>1</v>
      </c>
      <c r="I277">
        <v>0.16</v>
      </c>
      <c r="J277">
        <v>0.1212</v>
      </c>
      <c r="K277">
        <v>0.55000000000000004</v>
      </c>
      <c r="L277">
        <v>0.44779999999999998</v>
      </c>
      <c r="M277">
        <v>1</v>
      </c>
      <c r="N277">
        <v>32</v>
      </c>
      <c r="O277">
        <v>33</v>
      </c>
    </row>
    <row r="278" spans="1:15" x14ac:dyDescent="0.25">
      <c r="A278">
        <v>277</v>
      </c>
      <c r="B278" s="2">
        <v>40555</v>
      </c>
      <c r="C278">
        <v>1</v>
      </c>
      <c r="D278">
        <v>1</v>
      </c>
      <c r="E278">
        <v>23</v>
      </c>
      <c r="F278" t="b">
        <v>0</v>
      </c>
      <c r="G278">
        <v>3</v>
      </c>
      <c r="H278">
        <v>1</v>
      </c>
      <c r="I278">
        <v>0.14000000000000001</v>
      </c>
      <c r="J278">
        <v>0.1061</v>
      </c>
      <c r="K278">
        <v>0.59</v>
      </c>
      <c r="L278">
        <v>0.41789999999999999</v>
      </c>
      <c r="M278">
        <v>1</v>
      </c>
      <c r="N278">
        <v>19</v>
      </c>
      <c r="O278">
        <v>20</v>
      </c>
    </row>
    <row r="279" spans="1:15" x14ac:dyDescent="0.25">
      <c r="A279">
        <v>278</v>
      </c>
      <c r="B279" s="2">
        <v>40556</v>
      </c>
      <c r="C279">
        <v>1</v>
      </c>
      <c r="D279">
        <v>1</v>
      </c>
      <c r="E279">
        <v>0</v>
      </c>
      <c r="F279" t="b">
        <v>0</v>
      </c>
      <c r="G279">
        <v>4</v>
      </c>
      <c r="H279">
        <v>1</v>
      </c>
      <c r="I279">
        <v>0.14000000000000001</v>
      </c>
      <c r="J279">
        <v>0.1212</v>
      </c>
      <c r="K279">
        <v>0.59</v>
      </c>
      <c r="L279">
        <v>0.28360000000000002</v>
      </c>
      <c r="M279">
        <v>1</v>
      </c>
      <c r="N279">
        <v>6</v>
      </c>
      <c r="O279">
        <v>7</v>
      </c>
    </row>
    <row r="280" spans="1:15" x14ac:dyDescent="0.25">
      <c r="A280">
        <v>279</v>
      </c>
      <c r="B280" s="2">
        <v>40556</v>
      </c>
      <c r="C280">
        <v>1</v>
      </c>
      <c r="D280">
        <v>1</v>
      </c>
      <c r="E280">
        <v>1</v>
      </c>
      <c r="F280" t="b">
        <v>0</v>
      </c>
      <c r="G280">
        <v>4</v>
      </c>
      <c r="H280">
        <v>1</v>
      </c>
      <c r="I280">
        <v>0.14000000000000001</v>
      </c>
      <c r="J280">
        <v>0.1212</v>
      </c>
      <c r="K280">
        <v>0.5</v>
      </c>
      <c r="L280">
        <v>0.28360000000000002</v>
      </c>
      <c r="M280">
        <v>0</v>
      </c>
      <c r="N280">
        <v>2</v>
      </c>
      <c r="O280">
        <v>2</v>
      </c>
    </row>
    <row r="281" spans="1:15" x14ac:dyDescent="0.25">
      <c r="A281">
        <v>280</v>
      </c>
      <c r="B281" s="2">
        <v>40556</v>
      </c>
      <c r="C281">
        <v>1</v>
      </c>
      <c r="D281">
        <v>1</v>
      </c>
      <c r="E281">
        <v>2</v>
      </c>
      <c r="F281" t="b">
        <v>0</v>
      </c>
      <c r="G281">
        <v>4</v>
      </c>
      <c r="H281">
        <v>1</v>
      </c>
      <c r="I281">
        <v>0.14000000000000001</v>
      </c>
      <c r="J281">
        <v>0.1212</v>
      </c>
      <c r="K281">
        <v>0.5</v>
      </c>
      <c r="L281">
        <v>0.35820000000000002</v>
      </c>
      <c r="M281">
        <v>0</v>
      </c>
      <c r="N281">
        <v>2</v>
      </c>
      <c r="O281">
        <v>2</v>
      </c>
    </row>
    <row r="282" spans="1:15" x14ac:dyDescent="0.25">
      <c r="A282">
        <v>281</v>
      </c>
      <c r="B282" s="2">
        <v>40556</v>
      </c>
      <c r="C282">
        <v>1</v>
      </c>
      <c r="D282">
        <v>1</v>
      </c>
      <c r="E282">
        <v>3</v>
      </c>
      <c r="F282" t="b">
        <v>0</v>
      </c>
      <c r="G282">
        <v>4</v>
      </c>
      <c r="H282">
        <v>1</v>
      </c>
      <c r="I282">
        <v>0.14000000000000001</v>
      </c>
      <c r="J282">
        <v>0.1212</v>
      </c>
      <c r="K282">
        <v>0.5</v>
      </c>
      <c r="L282">
        <v>0.32840000000000003</v>
      </c>
      <c r="M282">
        <v>0</v>
      </c>
      <c r="N282">
        <v>3</v>
      </c>
      <c r="O282">
        <v>3</v>
      </c>
    </row>
    <row r="283" spans="1:15" x14ac:dyDescent="0.25">
      <c r="A283">
        <v>282</v>
      </c>
      <c r="B283" s="2">
        <v>40556</v>
      </c>
      <c r="C283">
        <v>1</v>
      </c>
      <c r="D283">
        <v>1</v>
      </c>
      <c r="E283">
        <v>4</v>
      </c>
      <c r="F283" t="b">
        <v>0</v>
      </c>
      <c r="G283">
        <v>4</v>
      </c>
      <c r="H283">
        <v>1</v>
      </c>
      <c r="I283">
        <v>0.14000000000000001</v>
      </c>
      <c r="J283">
        <v>0.1212</v>
      </c>
      <c r="K283">
        <v>0.5</v>
      </c>
      <c r="L283">
        <v>0.25369999999999998</v>
      </c>
      <c r="M283">
        <v>0</v>
      </c>
      <c r="N283">
        <v>4</v>
      </c>
      <c r="O283">
        <v>4</v>
      </c>
    </row>
    <row r="284" spans="1:15" x14ac:dyDescent="0.25">
      <c r="A284">
        <v>283</v>
      </c>
      <c r="B284" s="2">
        <v>40556</v>
      </c>
      <c r="C284">
        <v>1</v>
      </c>
      <c r="D284">
        <v>1</v>
      </c>
      <c r="E284">
        <v>5</v>
      </c>
      <c r="F284" t="b">
        <v>0</v>
      </c>
      <c r="G284">
        <v>4</v>
      </c>
      <c r="H284">
        <v>1</v>
      </c>
      <c r="I284">
        <v>0.14000000000000001</v>
      </c>
      <c r="J284">
        <v>0.1212</v>
      </c>
      <c r="K284">
        <v>0.5</v>
      </c>
      <c r="L284">
        <v>0.29849999999999999</v>
      </c>
      <c r="M284">
        <v>0</v>
      </c>
      <c r="N284">
        <v>3</v>
      </c>
      <c r="O284">
        <v>3</v>
      </c>
    </row>
    <row r="285" spans="1:15" x14ac:dyDescent="0.25">
      <c r="A285">
        <v>284</v>
      </c>
      <c r="B285" s="2">
        <v>40556</v>
      </c>
      <c r="C285">
        <v>1</v>
      </c>
      <c r="D285">
        <v>1</v>
      </c>
      <c r="E285">
        <v>6</v>
      </c>
      <c r="F285" t="b">
        <v>0</v>
      </c>
      <c r="G285">
        <v>4</v>
      </c>
      <c r="H285">
        <v>1</v>
      </c>
      <c r="I285">
        <v>0.12</v>
      </c>
      <c r="J285">
        <v>0.1515</v>
      </c>
      <c r="K285">
        <v>0.54</v>
      </c>
      <c r="L285">
        <v>0.1343</v>
      </c>
      <c r="M285">
        <v>0</v>
      </c>
      <c r="N285">
        <v>28</v>
      </c>
      <c r="O285">
        <v>28</v>
      </c>
    </row>
    <row r="286" spans="1:15" x14ac:dyDescent="0.25">
      <c r="A286">
        <v>285</v>
      </c>
      <c r="B286" s="2">
        <v>40556</v>
      </c>
      <c r="C286">
        <v>1</v>
      </c>
      <c r="D286">
        <v>1</v>
      </c>
      <c r="E286">
        <v>7</v>
      </c>
      <c r="F286" t="b">
        <v>0</v>
      </c>
      <c r="G286">
        <v>4</v>
      </c>
      <c r="H286">
        <v>1</v>
      </c>
      <c r="I286">
        <v>0.12</v>
      </c>
      <c r="J286">
        <v>0.1515</v>
      </c>
      <c r="K286">
        <v>0.54</v>
      </c>
      <c r="L286">
        <v>0.1343</v>
      </c>
      <c r="M286">
        <v>0</v>
      </c>
      <c r="N286">
        <v>72</v>
      </c>
      <c r="O286">
        <v>72</v>
      </c>
    </row>
    <row r="287" spans="1:15" x14ac:dyDescent="0.25">
      <c r="A287">
        <v>286</v>
      </c>
      <c r="B287" s="2">
        <v>40556</v>
      </c>
      <c r="C287">
        <v>1</v>
      </c>
      <c r="D287">
        <v>1</v>
      </c>
      <c r="E287">
        <v>8</v>
      </c>
      <c r="F287" t="b">
        <v>0</v>
      </c>
      <c r="G287">
        <v>4</v>
      </c>
      <c r="H287">
        <v>1</v>
      </c>
      <c r="I287">
        <v>0.14000000000000001</v>
      </c>
      <c r="J287">
        <v>0.13639999999999999</v>
      </c>
      <c r="K287">
        <v>0.5</v>
      </c>
      <c r="L287">
        <v>0.19400000000000001</v>
      </c>
      <c r="M287">
        <v>5</v>
      </c>
      <c r="N287">
        <v>197</v>
      </c>
      <c r="O287">
        <v>202</v>
      </c>
    </row>
    <row r="288" spans="1:15" x14ac:dyDescent="0.25">
      <c r="A288">
        <v>287</v>
      </c>
      <c r="B288" s="2">
        <v>40556</v>
      </c>
      <c r="C288">
        <v>1</v>
      </c>
      <c r="D288">
        <v>1</v>
      </c>
      <c r="E288">
        <v>9</v>
      </c>
      <c r="F288" t="b">
        <v>0</v>
      </c>
      <c r="G288">
        <v>4</v>
      </c>
      <c r="H288">
        <v>1</v>
      </c>
      <c r="I288">
        <v>0.14000000000000001</v>
      </c>
      <c r="J288">
        <v>0.1212</v>
      </c>
      <c r="K288">
        <v>0.5</v>
      </c>
      <c r="L288">
        <v>0.32840000000000003</v>
      </c>
      <c r="M288">
        <v>2</v>
      </c>
      <c r="N288">
        <v>137</v>
      </c>
      <c r="O288">
        <v>139</v>
      </c>
    </row>
    <row r="289" spans="1:15" x14ac:dyDescent="0.25">
      <c r="A289">
        <v>288</v>
      </c>
      <c r="B289" s="2">
        <v>40556</v>
      </c>
      <c r="C289">
        <v>1</v>
      </c>
      <c r="D289">
        <v>1</v>
      </c>
      <c r="E289">
        <v>10</v>
      </c>
      <c r="F289" t="b">
        <v>0</v>
      </c>
      <c r="G289">
        <v>4</v>
      </c>
      <c r="H289">
        <v>2</v>
      </c>
      <c r="I289">
        <v>0.16</v>
      </c>
      <c r="J289">
        <v>0.13639999999999999</v>
      </c>
      <c r="K289">
        <v>0.5</v>
      </c>
      <c r="L289">
        <v>0.35820000000000002</v>
      </c>
      <c r="M289">
        <v>2</v>
      </c>
      <c r="N289">
        <v>36</v>
      </c>
      <c r="O289">
        <v>38</v>
      </c>
    </row>
    <row r="290" spans="1:15" x14ac:dyDescent="0.25">
      <c r="A290">
        <v>289</v>
      </c>
      <c r="B290" s="2">
        <v>40556</v>
      </c>
      <c r="C290">
        <v>1</v>
      </c>
      <c r="D290">
        <v>1</v>
      </c>
      <c r="E290">
        <v>11</v>
      </c>
      <c r="F290" t="b">
        <v>0</v>
      </c>
      <c r="G290">
        <v>4</v>
      </c>
      <c r="H290">
        <v>2</v>
      </c>
      <c r="I290">
        <v>0.2</v>
      </c>
      <c r="J290">
        <v>0.16669999999999999</v>
      </c>
      <c r="K290">
        <v>0.44</v>
      </c>
      <c r="L290">
        <v>0.44779999999999998</v>
      </c>
      <c r="M290">
        <v>4</v>
      </c>
      <c r="N290">
        <v>33</v>
      </c>
      <c r="O290">
        <v>37</v>
      </c>
    </row>
    <row r="291" spans="1:15" x14ac:dyDescent="0.25">
      <c r="A291">
        <v>290</v>
      </c>
      <c r="B291" s="2">
        <v>40556</v>
      </c>
      <c r="C291">
        <v>1</v>
      </c>
      <c r="D291">
        <v>1</v>
      </c>
      <c r="E291">
        <v>12</v>
      </c>
      <c r="F291" t="b">
        <v>0</v>
      </c>
      <c r="G291">
        <v>4</v>
      </c>
      <c r="H291">
        <v>1</v>
      </c>
      <c r="I291">
        <v>0.2</v>
      </c>
      <c r="J291">
        <v>0.16669999999999999</v>
      </c>
      <c r="K291">
        <v>0.44</v>
      </c>
      <c r="L291">
        <v>0.41789999999999999</v>
      </c>
      <c r="M291">
        <v>3</v>
      </c>
      <c r="N291">
        <v>49</v>
      </c>
      <c r="O291">
        <v>52</v>
      </c>
    </row>
    <row r="292" spans="1:15" x14ac:dyDescent="0.25">
      <c r="A292">
        <v>291</v>
      </c>
      <c r="B292" s="2">
        <v>40556</v>
      </c>
      <c r="C292">
        <v>1</v>
      </c>
      <c r="D292">
        <v>1</v>
      </c>
      <c r="E292">
        <v>13</v>
      </c>
      <c r="F292" t="b">
        <v>0</v>
      </c>
      <c r="G292">
        <v>4</v>
      </c>
      <c r="H292">
        <v>1</v>
      </c>
      <c r="I292">
        <v>0.22</v>
      </c>
      <c r="J292">
        <v>0.19700000000000001</v>
      </c>
      <c r="K292">
        <v>0.41</v>
      </c>
      <c r="L292">
        <v>0.44779999999999998</v>
      </c>
      <c r="M292">
        <v>2</v>
      </c>
      <c r="N292">
        <v>81</v>
      </c>
      <c r="O292">
        <v>83</v>
      </c>
    </row>
    <row r="293" spans="1:15" x14ac:dyDescent="0.25">
      <c r="A293">
        <v>292</v>
      </c>
      <c r="B293" s="2">
        <v>40556</v>
      </c>
      <c r="C293">
        <v>1</v>
      </c>
      <c r="D293">
        <v>1</v>
      </c>
      <c r="E293">
        <v>14</v>
      </c>
      <c r="F293" t="b">
        <v>0</v>
      </c>
      <c r="G293">
        <v>4</v>
      </c>
      <c r="H293">
        <v>1</v>
      </c>
      <c r="I293">
        <v>0.22</v>
      </c>
      <c r="J293">
        <v>0.19700000000000001</v>
      </c>
      <c r="K293">
        <v>0.41</v>
      </c>
      <c r="L293">
        <v>0.3881</v>
      </c>
      <c r="M293">
        <v>3</v>
      </c>
      <c r="N293">
        <v>39</v>
      </c>
      <c r="O293">
        <v>42</v>
      </c>
    </row>
    <row r="294" spans="1:15" x14ac:dyDescent="0.25">
      <c r="A294">
        <v>293</v>
      </c>
      <c r="B294" s="2">
        <v>40556</v>
      </c>
      <c r="C294">
        <v>1</v>
      </c>
      <c r="D294">
        <v>1</v>
      </c>
      <c r="E294">
        <v>15</v>
      </c>
      <c r="F294" t="b">
        <v>0</v>
      </c>
      <c r="G294">
        <v>4</v>
      </c>
      <c r="H294">
        <v>1</v>
      </c>
      <c r="I294">
        <v>0.24</v>
      </c>
      <c r="J294">
        <v>0.21210000000000001</v>
      </c>
      <c r="K294">
        <v>0.38</v>
      </c>
      <c r="L294">
        <v>0.29849999999999999</v>
      </c>
      <c r="M294">
        <v>5</v>
      </c>
      <c r="N294">
        <v>55</v>
      </c>
      <c r="O294">
        <v>60</v>
      </c>
    </row>
    <row r="295" spans="1:15" x14ac:dyDescent="0.25">
      <c r="A295">
        <v>294</v>
      </c>
      <c r="B295" s="2">
        <v>40556</v>
      </c>
      <c r="C295">
        <v>1</v>
      </c>
      <c r="D295">
        <v>1</v>
      </c>
      <c r="E295">
        <v>16</v>
      </c>
      <c r="F295" t="b">
        <v>0</v>
      </c>
      <c r="G295">
        <v>4</v>
      </c>
      <c r="H295">
        <v>1</v>
      </c>
      <c r="I295">
        <v>0.24</v>
      </c>
      <c r="J295">
        <v>0.21210000000000001</v>
      </c>
      <c r="K295">
        <v>0.38</v>
      </c>
      <c r="L295">
        <v>0.35820000000000002</v>
      </c>
      <c r="M295">
        <v>2</v>
      </c>
      <c r="N295">
        <v>76</v>
      </c>
      <c r="O295">
        <v>78</v>
      </c>
    </row>
    <row r="296" spans="1:15" x14ac:dyDescent="0.25">
      <c r="A296">
        <v>295</v>
      </c>
      <c r="B296" s="2">
        <v>40556</v>
      </c>
      <c r="C296">
        <v>1</v>
      </c>
      <c r="D296">
        <v>1</v>
      </c>
      <c r="E296">
        <v>17</v>
      </c>
      <c r="F296" t="b">
        <v>0</v>
      </c>
      <c r="G296">
        <v>4</v>
      </c>
      <c r="H296">
        <v>1</v>
      </c>
      <c r="I296">
        <v>0.2</v>
      </c>
      <c r="J296">
        <v>0.18179999999999999</v>
      </c>
      <c r="K296">
        <v>0.4</v>
      </c>
      <c r="L296">
        <v>0.28360000000000002</v>
      </c>
      <c r="M296">
        <v>4</v>
      </c>
      <c r="N296">
        <v>158</v>
      </c>
      <c r="O296">
        <v>162</v>
      </c>
    </row>
    <row r="297" spans="1:15" x14ac:dyDescent="0.25">
      <c r="A297">
        <v>296</v>
      </c>
      <c r="B297" s="2">
        <v>40556</v>
      </c>
      <c r="C297">
        <v>1</v>
      </c>
      <c r="D297">
        <v>1</v>
      </c>
      <c r="E297">
        <v>18</v>
      </c>
      <c r="F297" t="b">
        <v>0</v>
      </c>
      <c r="G297">
        <v>4</v>
      </c>
      <c r="H297">
        <v>1</v>
      </c>
      <c r="I297">
        <v>0.2</v>
      </c>
      <c r="J297">
        <v>0.18179999999999999</v>
      </c>
      <c r="K297">
        <v>0.4</v>
      </c>
      <c r="L297">
        <v>0.32840000000000003</v>
      </c>
      <c r="M297">
        <v>3</v>
      </c>
      <c r="N297">
        <v>141</v>
      </c>
      <c r="O297">
        <v>144</v>
      </c>
    </row>
    <row r="298" spans="1:15" x14ac:dyDescent="0.25">
      <c r="A298">
        <v>297</v>
      </c>
      <c r="B298" s="2">
        <v>40556</v>
      </c>
      <c r="C298">
        <v>1</v>
      </c>
      <c r="D298">
        <v>1</v>
      </c>
      <c r="E298">
        <v>19</v>
      </c>
      <c r="F298" t="b">
        <v>0</v>
      </c>
      <c r="G298">
        <v>4</v>
      </c>
      <c r="H298">
        <v>1</v>
      </c>
      <c r="I298">
        <v>0.16</v>
      </c>
      <c r="J298">
        <v>0.1515</v>
      </c>
      <c r="K298">
        <v>0.47</v>
      </c>
      <c r="L298">
        <v>0.25369999999999998</v>
      </c>
      <c r="M298">
        <v>1</v>
      </c>
      <c r="N298">
        <v>98</v>
      </c>
      <c r="O298">
        <v>99</v>
      </c>
    </row>
    <row r="299" spans="1:15" x14ac:dyDescent="0.25">
      <c r="A299">
        <v>298</v>
      </c>
      <c r="B299" s="2">
        <v>40556</v>
      </c>
      <c r="C299">
        <v>1</v>
      </c>
      <c r="D299">
        <v>1</v>
      </c>
      <c r="E299">
        <v>20</v>
      </c>
      <c r="F299" t="b">
        <v>0</v>
      </c>
      <c r="G299">
        <v>4</v>
      </c>
      <c r="H299">
        <v>1</v>
      </c>
      <c r="I299">
        <v>0.16</v>
      </c>
      <c r="J299">
        <v>0.1515</v>
      </c>
      <c r="K299">
        <v>0.47</v>
      </c>
      <c r="L299">
        <v>0.22389999999999999</v>
      </c>
      <c r="M299">
        <v>0</v>
      </c>
      <c r="N299">
        <v>64</v>
      </c>
      <c r="O299">
        <v>64</v>
      </c>
    </row>
    <row r="300" spans="1:15" x14ac:dyDescent="0.25">
      <c r="A300">
        <v>299</v>
      </c>
      <c r="B300" s="2">
        <v>40556</v>
      </c>
      <c r="C300">
        <v>1</v>
      </c>
      <c r="D300">
        <v>1</v>
      </c>
      <c r="E300">
        <v>21</v>
      </c>
      <c r="F300" t="b">
        <v>0</v>
      </c>
      <c r="G300">
        <v>4</v>
      </c>
      <c r="H300">
        <v>1</v>
      </c>
      <c r="I300">
        <v>0.14000000000000001</v>
      </c>
      <c r="J300">
        <v>0.1212</v>
      </c>
      <c r="K300">
        <v>0.46</v>
      </c>
      <c r="L300">
        <v>0.29849999999999999</v>
      </c>
      <c r="M300">
        <v>0</v>
      </c>
      <c r="N300">
        <v>40</v>
      </c>
      <c r="O300">
        <v>40</v>
      </c>
    </row>
    <row r="301" spans="1:15" x14ac:dyDescent="0.25">
      <c r="A301">
        <v>300</v>
      </c>
      <c r="B301" s="2">
        <v>40556</v>
      </c>
      <c r="C301">
        <v>1</v>
      </c>
      <c r="D301">
        <v>1</v>
      </c>
      <c r="E301">
        <v>22</v>
      </c>
      <c r="F301" t="b">
        <v>0</v>
      </c>
      <c r="G301">
        <v>4</v>
      </c>
      <c r="H301">
        <v>1</v>
      </c>
      <c r="I301">
        <v>0.14000000000000001</v>
      </c>
      <c r="J301">
        <v>0.1212</v>
      </c>
      <c r="K301">
        <v>0.46</v>
      </c>
      <c r="L301">
        <v>0.32840000000000003</v>
      </c>
      <c r="M301">
        <v>0</v>
      </c>
      <c r="N301">
        <v>30</v>
      </c>
      <c r="O301">
        <v>30</v>
      </c>
    </row>
    <row r="302" spans="1:15" x14ac:dyDescent="0.25">
      <c r="A302">
        <v>301</v>
      </c>
      <c r="B302" s="2">
        <v>40556</v>
      </c>
      <c r="C302">
        <v>1</v>
      </c>
      <c r="D302">
        <v>1</v>
      </c>
      <c r="E302">
        <v>23</v>
      </c>
      <c r="F302" t="b">
        <v>0</v>
      </c>
      <c r="G302">
        <v>4</v>
      </c>
      <c r="H302">
        <v>1</v>
      </c>
      <c r="I302">
        <v>0.12</v>
      </c>
      <c r="J302">
        <v>0.13639999999999999</v>
      </c>
      <c r="K302">
        <v>0.5</v>
      </c>
      <c r="L302">
        <v>0.19400000000000001</v>
      </c>
      <c r="M302">
        <v>1</v>
      </c>
      <c r="N302">
        <v>14</v>
      </c>
      <c r="O302">
        <v>15</v>
      </c>
    </row>
    <row r="303" spans="1:15" x14ac:dyDescent="0.25">
      <c r="A303">
        <v>302</v>
      </c>
      <c r="B303" s="2">
        <v>40557</v>
      </c>
      <c r="C303">
        <v>1</v>
      </c>
      <c r="D303">
        <v>1</v>
      </c>
      <c r="E303">
        <v>0</v>
      </c>
      <c r="F303" t="b">
        <v>0</v>
      </c>
      <c r="G303">
        <v>5</v>
      </c>
      <c r="H303">
        <v>1</v>
      </c>
      <c r="I303">
        <v>0.12</v>
      </c>
      <c r="J303">
        <v>0.13639999999999999</v>
      </c>
      <c r="K303">
        <v>0.5</v>
      </c>
      <c r="L303">
        <v>0.19400000000000001</v>
      </c>
      <c r="M303">
        <v>0</v>
      </c>
      <c r="N303">
        <v>14</v>
      </c>
      <c r="O303">
        <v>14</v>
      </c>
    </row>
    <row r="304" spans="1:15" x14ac:dyDescent="0.25">
      <c r="A304">
        <v>303</v>
      </c>
      <c r="B304" s="2">
        <v>40557</v>
      </c>
      <c r="C304">
        <v>1</v>
      </c>
      <c r="D304">
        <v>1</v>
      </c>
      <c r="E304">
        <v>1</v>
      </c>
      <c r="F304" t="b">
        <v>0</v>
      </c>
      <c r="G304">
        <v>5</v>
      </c>
      <c r="H304">
        <v>1</v>
      </c>
      <c r="I304">
        <v>0.1</v>
      </c>
      <c r="J304">
        <v>0.1212</v>
      </c>
      <c r="K304">
        <v>0.54</v>
      </c>
      <c r="L304">
        <v>0.16420000000000001</v>
      </c>
      <c r="M304">
        <v>0</v>
      </c>
      <c r="N304">
        <v>5</v>
      </c>
      <c r="O304">
        <v>5</v>
      </c>
    </row>
    <row r="305" spans="1:15" x14ac:dyDescent="0.25">
      <c r="A305">
        <v>304</v>
      </c>
      <c r="B305" s="2">
        <v>40557</v>
      </c>
      <c r="C305">
        <v>1</v>
      </c>
      <c r="D305">
        <v>1</v>
      </c>
      <c r="E305">
        <v>2</v>
      </c>
      <c r="F305" t="b">
        <v>0</v>
      </c>
      <c r="G305">
        <v>5</v>
      </c>
      <c r="H305">
        <v>1</v>
      </c>
      <c r="I305">
        <v>0.1</v>
      </c>
      <c r="J305">
        <v>0.1212</v>
      </c>
      <c r="K305">
        <v>0.54</v>
      </c>
      <c r="L305">
        <v>0.1343</v>
      </c>
      <c r="M305">
        <v>0</v>
      </c>
      <c r="N305">
        <v>1</v>
      </c>
      <c r="O305">
        <v>1</v>
      </c>
    </row>
    <row r="306" spans="1:15" x14ac:dyDescent="0.25">
      <c r="A306">
        <v>305</v>
      </c>
      <c r="B306" s="2">
        <v>40557</v>
      </c>
      <c r="C306">
        <v>1</v>
      </c>
      <c r="D306">
        <v>1</v>
      </c>
      <c r="E306">
        <v>3</v>
      </c>
      <c r="F306" t="b">
        <v>0</v>
      </c>
      <c r="G306">
        <v>5</v>
      </c>
      <c r="H306">
        <v>1</v>
      </c>
      <c r="I306">
        <v>0.1</v>
      </c>
      <c r="J306">
        <v>0.13639999999999999</v>
      </c>
      <c r="K306">
        <v>0.54</v>
      </c>
      <c r="L306">
        <v>0.1045</v>
      </c>
      <c r="M306">
        <v>0</v>
      </c>
      <c r="N306">
        <v>1</v>
      </c>
      <c r="O306">
        <v>1</v>
      </c>
    </row>
    <row r="307" spans="1:15" x14ac:dyDescent="0.25">
      <c r="A307">
        <v>306</v>
      </c>
      <c r="B307" s="2">
        <v>40557</v>
      </c>
      <c r="C307">
        <v>1</v>
      </c>
      <c r="D307">
        <v>1</v>
      </c>
      <c r="E307">
        <v>5</v>
      </c>
      <c r="F307" t="b">
        <v>0</v>
      </c>
      <c r="G307">
        <v>5</v>
      </c>
      <c r="H307">
        <v>1</v>
      </c>
      <c r="I307">
        <v>0.1</v>
      </c>
      <c r="J307">
        <v>0.13639999999999999</v>
      </c>
      <c r="K307">
        <v>0.54</v>
      </c>
      <c r="L307">
        <v>8.9599999999999999E-2</v>
      </c>
      <c r="M307">
        <v>0</v>
      </c>
      <c r="N307">
        <v>8</v>
      </c>
      <c r="O307">
        <v>8</v>
      </c>
    </row>
    <row r="308" spans="1:15" x14ac:dyDescent="0.25">
      <c r="A308">
        <v>307</v>
      </c>
      <c r="B308" s="2">
        <v>40557</v>
      </c>
      <c r="C308">
        <v>1</v>
      </c>
      <c r="D308">
        <v>1</v>
      </c>
      <c r="E308">
        <v>6</v>
      </c>
      <c r="F308" t="b">
        <v>0</v>
      </c>
      <c r="G308">
        <v>5</v>
      </c>
      <c r="H308">
        <v>1</v>
      </c>
      <c r="I308">
        <v>0.1</v>
      </c>
      <c r="J308">
        <v>0.18179999999999999</v>
      </c>
      <c r="K308">
        <v>0.54</v>
      </c>
      <c r="L308">
        <v>0.3609</v>
      </c>
      <c r="M308">
        <v>0</v>
      </c>
      <c r="N308">
        <v>17</v>
      </c>
      <c r="O308">
        <v>17</v>
      </c>
    </row>
    <row r="309" spans="1:15" x14ac:dyDescent="0.25">
      <c r="A309">
        <v>308</v>
      </c>
      <c r="B309" s="2">
        <v>40557</v>
      </c>
      <c r="C309">
        <v>1</v>
      </c>
      <c r="D309">
        <v>1</v>
      </c>
      <c r="E309">
        <v>7</v>
      </c>
      <c r="F309" t="b">
        <v>0</v>
      </c>
      <c r="G309">
        <v>5</v>
      </c>
      <c r="H309">
        <v>1</v>
      </c>
      <c r="I309">
        <v>0.1</v>
      </c>
      <c r="J309">
        <v>0.1212</v>
      </c>
      <c r="K309">
        <v>0.74</v>
      </c>
      <c r="L309">
        <v>0.16420000000000001</v>
      </c>
      <c r="M309">
        <v>0</v>
      </c>
      <c r="N309">
        <v>70</v>
      </c>
      <c r="O309">
        <v>70</v>
      </c>
    </row>
    <row r="310" spans="1:15" x14ac:dyDescent="0.25">
      <c r="A310">
        <v>309</v>
      </c>
      <c r="B310" s="2">
        <v>40557</v>
      </c>
      <c r="C310">
        <v>1</v>
      </c>
      <c r="D310">
        <v>1</v>
      </c>
      <c r="E310">
        <v>8</v>
      </c>
      <c r="F310" t="b">
        <v>0</v>
      </c>
      <c r="G310">
        <v>5</v>
      </c>
      <c r="H310">
        <v>1</v>
      </c>
      <c r="I310">
        <v>0.12</v>
      </c>
      <c r="J310">
        <v>0.16669999999999999</v>
      </c>
      <c r="K310">
        <v>0.68</v>
      </c>
      <c r="L310">
        <v>0.42335</v>
      </c>
      <c r="M310">
        <v>2</v>
      </c>
      <c r="N310">
        <v>156</v>
      </c>
      <c r="O310">
        <v>158</v>
      </c>
    </row>
    <row r="311" spans="1:15" x14ac:dyDescent="0.25">
      <c r="A311">
        <v>310</v>
      </c>
      <c r="B311" s="2">
        <v>40557</v>
      </c>
      <c r="C311">
        <v>1</v>
      </c>
      <c r="D311">
        <v>1</v>
      </c>
      <c r="E311">
        <v>9</v>
      </c>
      <c r="F311" t="b">
        <v>0</v>
      </c>
      <c r="G311">
        <v>5</v>
      </c>
      <c r="H311">
        <v>1</v>
      </c>
      <c r="I311">
        <v>0.14000000000000001</v>
      </c>
      <c r="J311">
        <v>0.1515</v>
      </c>
      <c r="K311">
        <v>0.69</v>
      </c>
      <c r="L311">
        <v>0.1343</v>
      </c>
      <c r="M311">
        <v>0</v>
      </c>
      <c r="N311">
        <v>117</v>
      </c>
      <c r="O311">
        <v>117</v>
      </c>
    </row>
    <row r="312" spans="1:15" x14ac:dyDescent="0.25">
      <c r="A312">
        <v>311</v>
      </c>
      <c r="B312" s="2">
        <v>40557</v>
      </c>
      <c r="C312">
        <v>1</v>
      </c>
      <c r="D312">
        <v>1</v>
      </c>
      <c r="E312">
        <v>10</v>
      </c>
      <c r="F312" t="b">
        <v>0</v>
      </c>
      <c r="G312">
        <v>5</v>
      </c>
      <c r="H312">
        <v>1</v>
      </c>
      <c r="I312">
        <v>0.18</v>
      </c>
      <c r="J312">
        <v>0.18179999999999999</v>
      </c>
      <c r="K312">
        <v>0.55000000000000004</v>
      </c>
      <c r="L312">
        <v>0.19400000000000001</v>
      </c>
      <c r="M312">
        <v>4</v>
      </c>
      <c r="N312">
        <v>40</v>
      </c>
      <c r="O312">
        <v>44</v>
      </c>
    </row>
    <row r="313" spans="1:15" x14ac:dyDescent="0.25">
      <c r="A313">
        <v>312</v>
      </c>
      <c r="B313" s="2">
        <v>40557</v>
      </c>
      <c r="C313">
        <v>1</v>
      </c>
      <c r="D313">
        <v>1</v>
      </c>
      <c r="E313">
        <v>11</v>
      </c>
      <c r="F313" t="b">
        <v>0</v>
      </c>
      <c r="G313">
        <v>5</v>
      </c>
      <c r="H313">
        <v>1</v>
      </c>
      <c r="I313">
        <v>0.18</v>
      </c>
      <c r="J313">
        <v>0.16669999999999999</v>
      </c>
      <c r="K313">
        <v>0.51</v>
      </c>
      <c r="L313">
        <v>0.28360000000000002</v>
      </c>
      <c r="M313">
        <v>6</v>
      </c>
      <c r="N313">
        <v>47</v>
      </c>
      <c r="O313">
        <v>53</v>
      </c>
    </row>
    <row r="314" spans="1:15" x14ac:dyDescent="0.25">
      <c r="A314">
        <v>313</v>
      </c>
      <c r="B314" s="2">
        <v>40557</v>
      </c>
      <c r="C314">
        <v>1</v>
      </c>
      <c r="D314">
        <v>1</v>
      </c>
      <c r="E314">
        <v>12</v>
      </c>
      <c r="F314" t="b">
        <v>0</v>
      </c>
      <c r="G314">
        <v>5</v>
      </c>
      <c r="H314">
        <v>1</v>
      </c>
      <c r="I314">
        <v>0.2</v>
      </c>
      <c r="J314">
        <v>0.19700000000000001</v>
      </c>
      <c r="K314">
        <v>0.44</v>
      </c>
      <c r="L314">
        <v>0.25369999999999998</v>
      </c>
      <c r="M314">
        <v>2</v>
      </c>
      <c r="N314">
        <v>59</v>
      </c>
      <c r="O314">
        <v>61</v>
      </c>
    </row>
    <row r="315" spans="1:15" x14ac:dyDescent="0.25">
      <c r="A315">
        <v>314</v>
      </c>
      <c r="B315" s="2">
        <v>40557</v>
      </c>
      <c r="C315">
        <v>1</v>
      </c>
      <c r="D315">
        <v>1</v>
      </c>
      <c r="E315">
        <v>13</v>
      </c>
      <c r="F315" t="b">
        <v>0</v>
      </c>
      <c r="G315">
        <v>5</v>
      </c>
      <c r="H315">
        <v>1</v>
      </c>
      <c r="I315">
        <v>0.22</v>
      </c>
      <c r="J315">
        <v>0.19700000000000001</v>
      </c>
      <c r="K315">
        <v>0.37</v>
      </c>
      <c r="L315">
        <v>0.3881</v>
      </c>
      <c r="M315">
        <v>4</v>
      </c>
      <c r="N315">
        <v>73</v>
      </c>
      <c r="O315">
        <v>77</v>
      </c>
    </row>
    <row r="316" spans="1:15" x14ac:dyDescent="0.25">
      <c r="A316">
        <v>315</v>
      </c>
      <c r="B316" s="2">
        <v>40557</v>
      </c>
      <c r="C316">
        <v>1</v>
      </c>
      <c r="D316">
        <v>1</v>
      </c>
      <c r="E316">
        <v>14</v>
      </c>
      <c r="F316" t="b">
        <v>0</v>
      </c>
      <c r="G316">
        <v>5</v>
      </c>
      <c r="H316">
        <v>1</v>
      </c>
      <c r="I316">
        <v>0.22</v>
      </c>
      <c r="J316">
        <v>0.21210000000000001</v>
      </c>
      <c r="K316">
        <v>0.41</v>
      </c>
      <c r="L316">
        <v>0.28360000000000002</v>
      </c>
      <c r="M316">
        <v>5</v>
      </c>
      <c r="N316">
        <v>59</v>
      </c>
      <c r="O316">
        <v>64</v>
      </c>
    </row>
    <row r="317" spans="1:15" x14ac:dyDescent="0.25">
      <c r="A317">
        <v>316</v>
      </c>
      <c r="B317" s="2">
        <v>40557</v>
      </c>
      <c r="C317">
        <v>1</v>
      </c>
      <c r="D317">
        <v>1</v>
      </c>
      <c r="E317">
        <v>15</v>
      </c>
      <c r="F317" t="b">
        <v>0</v>
      </c>
      <c r="G317">
        <v>5</v>
      </c>
      <c r="H317">
        <v>1</v>
      </c>
      <c r="I317">
        <v>0.24</v>
      </c>
      <c r="J317">
        <v>0.2424</v>
      </c>
      <c r="K317">
        <v>0.38</v>
      </c>
      <c r="L317">
        <v>0.16420000000000001</v>
      </c>
      <c r="M317">
        <v>9</v>
      </c>
      <c r="N317">
        <v>59</v>
      </c>
      <c r="O317">
        <v>68</v>
      </c>
    </row>
    <row r="318" spans="1:15" x14ac:dyDescent="0.25">
      <c r="A318">
        <v>317</v>
      </c>
      <c r="B318" s="2">
        <v>40557</v>
      </c>
      <c r="C318">
        <v>1</v>
      </c>
      <c r="D318">
        <v>1</v>
      </c>
      <c r="E318">
        <v>16</v>
      </c>
      <c r="F318" t="b">
        <v>0</v>
      </c>
      <c r="G318">
        <v>5</v>
      </c>
      <c r="H318">
        <v>1</v>
      </c>
      <c r="I318">
        <v>0.22</v>
      </c>
      <c r="J318">
        <v>0.2424</v>
      </c>
      <c r="K318">
        <v>0.41</v>
      </c>
      <c r="L318">
        <v>0.1045</v>
      </c>
      <c r="M318">
        <v>3</v>
      </c>
      <c r="N318">
        <v>87</v>
      </c>
      <c r="O318">
        <v>90</v>
      </c>
    </row>
    <row r="319" spans="1:15" x14ac:dyDescent="0.25">
      <c r="A319">
        <v>318</v>
      </c>
      <c r="B319" s="2">
        <v>40557</v>
      </c>
      <c r="C319">
        <v>1</v>
      </c>
      <c r="D319">
        <v>1</v>
      </c>
      <c r="E319">
        <v>17</v>
      </c>
      <c r="F319" t="b">
        <v>0</v>
      </c>
      <c r="G319">
        <v>5</v>
      </c>
      <c r="H319">
        <v>1</v>
      </c>
      <c r="I319">
        <v>0.22</v>
      </c>
      <c r="J319">
        <v>0.2273</v>
      </c>
      <c r="K319">
        <v>0.41</v>
      </c>
      <c r="L319">
        <v>0.16420000000000001</v>
      </c>
      <c r="M319">
        <v>4</v>
      </c>
      <c r="N319">
        <v>155</v>
      </c>
      <c r="O319">
        <v>159</v>
      </c>
    </row>
    <row r="320" spans="1:15" x14ac:dyDescent="0.25">
      <c r="A320">
        <v>319</v>
      </c>
      <c r="B320" s="2">
        <v>40557</v>
      </c>
      <c r="C320">
        <v>1</v>
      </c>
      <c r="D320">
        <v>1</v>
      </c>
      <c r="E320">
        <v>18</v>
      </c>
      <c r="F320" t="b">
        <v>0</v>
      </c>
      <c r="G320">
        <v>5</v>
      </c>
      <c r="H320">
        <v>1</v>
      </c>
      <c r="I320">
        <v>0.2</v>
      </c>
      <c r="J320">
        <v>0.2576</v>
      </c>
      <c r="K320">
        <v>0.47</v>
      </c>
      <c r="L320">
        <v>0.36380000000000001</v>
      </c>
      <c r="M320">
        <v>5</v>
      </c>
      <c r="N320">
        <v>134</v>
      </c>
      <c r="O320">
        <v>139</v>
      </c>
    </row>
    <row r="321" spans="1:15" x14ac:dyDescent="0.25">
      <c r="A321">
        <v>320</v>
      </c>
      <c r="B321" s="2">
        <v>40557</v>
      </c>
      <c r="C321">
        <v>1</v>
      </c>
      <c r="D321">
        <v>1</v>
      </c>
      <c r="E321">
        <v>19</v>
      </c>
      <c r="F321" t="b">
        <v>0</v>
      </c>
      <c r="G321">
        <v>5</v>
      </c>
      <c r="H321">
        <v>1</v>
      </c>
      <c r="I321">
        <v>0.16</v>
      </c>
      <c r="J321">
        <v>0.19700000000000001</v>
      </c>
      <c r="K321">
        <v>0.59</v>
      </c>
      <c r="L321">
        <v>8.9599999999999999E-2</v>
      </c>
      <c r="M321">
        <v>3</v>
      </c>
      <c r="N321">
        <v>89</v>
      </c>
      <c r="O321">
        <v>92</v>
      </c>
    </row>
    <row r="322" spans="1:15" x14ac:dyDescent="0.25">
      <c r="A322">
        <v>321</v>
      </c>
      <c r="B322" s="2">
        <v>40557</v>
      </c>
      <c r="C322">
        <v>1</v>
      </c>
      <c r="D322">
        <v>1</v>
      </c>
      <c r="E322">
        <v>20</v>
      </c>
      <c r="F322" t="b">
        <v>0</v>
      </c>
      <c r="G322">
        <v>5</v>
      </c>
      <c r="H322">
        <v>1</v>
      </c>
      <c r="I322">
        <v>0.18</v>
      </c>
      <c r="J322">
        <v>0.2424</v>
      </c>
      <c r="K322">
        <v>0.59</v>
      </c>
      <c r="L322">
        <v>0.41620000000000001</v>
      </c>
      <c r="M322">
        <v>0</v>
      </c>
      <c r="N322">
        <v>68</v>
      </c>
      <c r="O322">
        <v>68</v>
      </c>
    </row>
    <row r="323" spans="1:15" x14ac:dyDescent="0.25">
      <c r="A323">
        <v>322</v>
      </c>
      <c r="B323" s="2">
        <v>40557</v>
      </c>
      <c r="C323">
        <v>1</v>
      </c>
      <c r="D323">
        <v>1</v>
      </c>
      <c r="E323">
        <v>21</v>
      </c>
      <c r="F323" t="b">
        <v>0</v>
      </c>
      <c r="G323">
        <v>5</v>
      </c>
      <c r="H323">
        <v>1</v>
      </c>
      <c r="I323">
        <v>0.16</v>
      </c>
      <c r="J323">
        <v>0.2273</v>
      </c>
      <c r="K323">
        <v>0.69</v>
      </c>
      <c r="L323">
        <v>0.45865</v>
      </c>
      <c r="M323">
        <v>4</v>
      </c>
      <c r="N323">
        <v>48</v>
      </c>
      <c r="O323">
        <v>52</v>
      </c>
    </row>
    <row r="324" spans="1:15" x14ac:dyDescent="0.25">
      <c r="A324">
        <v>323</v>
      </c>
      <c r="B324" s="2">
        <v>40557</v>
      </c>
      <c r="C324">
        <v>1</v>
      </c>
      <c r="D324">
        <v>1</v>
      </c>
      <c r="E324">
        <v>22</v>
      </c>
      <c r="F324" t="b">
        <v>0</v>
      </c>
      <c r="G324">
        <v>5</v>
      </c>
      <c r="H324">
        <v>2</v>
      </c>
      <c r="I324">
        <v>0.16</v>
      </c>
      <c r="J324">
        <v>0.2273</v>
      </c>
      <c r="K324">
        <v>0.69</v>
      </c>
      <c r="L324">
        <v>0.45865</v>
      </c>
      <c r="M324">
        <v>2</v>
      </c>
      <c r="N324">
        <v>34</v>
      </c>
      <c r="O324">
        <v>36</v>
      </c>
    </row>
    <row r="325" spans="1:15" x14ac:dyDescent="0.25">
      <c r="A325">
        <v>324</v>
      </c>
      <c r="B325" s="2">
        <v>40557</v>
      </c>
      <c r="C325">
        <v>1</v>
      </c>
      <c r="D325">
        <v>1</v>
      </c>
      <c r="E325">
        <v>23</v>
      </c>
      <c r="F325" t="b">
        <v>0</v>
      </c>
      <c r="G325">
        <v>5</v>
      </c>
      <c r="H325">
        <v>2</v>
      </c>
      <c r="I325">
        <v>0.18</v>
      </c>
      <c r="J325">
        <v>0.2424</v>
      </c>
      <c r="K325">
        <v>0.55000000000000004</v>
      </c>
      <c r="L325">
        <v>0.3962</v>
      </c>
      <c r="M325">
        <v>1</v>
      </c>
      <c r="N325">
        <v>26</v>
      </c>
      <c r="O325">
        <v>27</v>
      </c>
    </row>
    <row r="326" spans="1:15" x14ac:dyDescent="0.25">
      <c r="A326">
        <v>325</v>
      </c>
      <c r="B326" s="2">
        <v>40558</v>
      </c>
      <c r="C326">
        <v>1</v>
      </c>
      <c r="D326">
        <v>1</v>
      </c>
      <c r="E326">
        <v>0</v>
      </c>
      <c r="F326" t="b">
        <v>0</v>
      </c>
      <c r="G326">
        <v>6</v>
      </c>
      <c r="H326">
        <v>1</v>
      </c>
      <c r="I326">
        <v>0.18</v>
      </c>
      <c r="J326">
        <v>0.2424</v>
      </c>
      <c r="K326">
        <v>0.55000000000000004</v>
      </c>
      <c r="L326">
        <v>0.3962</v>
      </c>
      <c r="M326">
        <v>3</v>
      </c>
      <c r="N326">
        <v>25</v>
      </c>
      <c r="O326">
        <v>28</v>
      </c>
    </row>
    <row r="327" spans="1:15" x14ac:dyDescent="0.25">
      <c r="A327">
        <v>326</v>
      </c>
      <c r="B327" s="2">
        <v>40558</v>
      </c>
      <c r="C327">
        <v>1</v>
      </c>
      <c r="D327">
        <v>1</v>
      </c>
      <c r="E327">
        <v>1</v>
      </c>
      <c r="F327" t="b">
        <v>0</v>
      </c>
      <c r="G327">
        <v>6</v>
      </c>
      <c r="H327">
        <v>2</v>
      </c>
      <c r="I327">
        <v>0.16</v>
      </c>
      <c r="J327">
        <v>0.19700000000000001</v>
      </c>
      <c r="K327">
        <v>0.59</v>
      </c>
      <c r="L327">
        <v>8.9599999999999999E-2</v>
      </c>
      <c r="M327">
        <v>2</v>
      </c>
      <c r="N327">
        <v>18</v>
      </c>
      <c r="O327">
        <v>20</v>
      </c>
    </row>
    <row r="328" spans="1:15" x14ac:dyDescent="0.25">
      <c r="A328">
        <v>327</v>
      </c>
      <c r="B328" s="2">
        <v>40558</v>
      </c>
      <c r="C328">
        <v>1</v>
      </c>
      <c r="D328">
        <v>1</v>
      </c>
      <c r="E328">
        <v>2</v>
      </c>
      <c r="F328" t="b">
        <v>0</v>
      </c>
      <c r="G328">
        <v>6</v>
      </c>
      <c r="H328">
        <v>2</v>
      </c>
      <c r="I328">
        <v>0.16</v>
      </c>
      <c r="J328">
        <v>0.19700000000000001</v>
      </c>
      <c r="K328">
        <v>0.59</v>
      </c>
      <c r="L328">
        <v>8.9599999999999999E-2</v>
      </c>
      <c r="M328">
        <v>0</v>
      </c>
      <c r="N328">
        <v>12</v>
      </c>
      <c r="O328">
        <v>12</v>
      </c>
    </row>
    <row r="329" spans="1:15" x14ac:dyDescent="0.25">
      <c r="A329">
        <v>328</v>
      </c>
      <c r="B329" s="2">
        <v>40558</v>
      </c>
      <c r="C329">
        <v>1</v>
      </c>
      <c r="D329">
        <v>1</v>
      </c>
      <c r="E329">
        <v>3</v>
      </c>
      <c r="F329" t="b">
        <v>0</v>
      </c>
      <c r="G329">
        <v>6</v>
      </c>
      <c r="H329">
        <v>2</v>
      </c>
      <c r="I329">
        <v>0.16</v>
      </c>
      <c r="J329">
        <v>0.2273</v>
      </c>
      <c r="K329">
        <v>0.59</v>
      </c>
      <c r="L329">
        <v>0.40864999999999996</v>
      </c>
      <c r="M329">
        <v>1</v>
      </c>
      <c r="N329">
        <v>7</v>
      </c>
      <c r="O329">
        <v>8</v>
      </c>
    </row>
    <row r="330" spans="1:15" x14ac:dyDescent="0.25">
      <c r="A330">
        <v>329</v>
      </c>
      <c r="B330" s="2">
        <v>40558</v>
      </c>
      <c r="C330">
        <v>1</v>
      </c>
      <c r="D330">
        <v>1</v>
      </c>
      <c r="E330">
        <v>4</v>
      </c>
      <c r="F330" t="b">
        <v>0</v>
      </c>
      <c r="G330">
        <v>6</v>
      </c>
      <c r="H330">
        <v>2</v>
      </c>
      <c r="I330">
        <v>0.16</v>
      </c>
      <c r="J330">
        <v>0.2273</v>
      </c>
      <c r="K330">
        <v>0.59</v>
      </c>
      <c r="L330">
        <v>0.40864999999999996</v>
      </c>
      <c r="M330">
        <v>0</v>
      </c>
      <c r="N330">
        <v>5</v>
      </c>
      <c r="O330">
        <v>5</v>
      </c>
    </row>
    <row r="331" spans="1:15" x14ac:dyDescent="0.25">
      <c r="A331">
        <v>330</v>
      </c>
      <c r="B331" s="2">
        <v>40558</v>
      </c>
      <c r="C331">
        <v>1</v>
      </c>
      <c r="D331">
        <v>1</v>
      </c>
      <c r="E331">
        <v>5</v>
      </c>
      <c r="F331" t="b">
        <v>0</v>
      </c>
      <c r="G331">
        <v>6</v>
      </c>
      <c r="H331">
        <v>1</v>
      </c>
      <c r="I331">
        <v>0.16</v>
      </c>
      <c r="J331">
        <v>0.2273</v>
      </c>
      <c r="K331">
        <v>0.59</v>
      </c>
      <c r="L331">
        <v>0.40864999999999996</v>
      </c>
      <c r="M331">
        <v>0</v>
      </c>
      <c r="N331">
        <v>1</v>
      </c>
      <c r="O331">
        <v>1</v>
      </c>
    </row>
    <row r="332" spans="1:15" x14ac:dyDescent="0.25">
      <c r="A332">
        <v>331</v>
      </c>
      <c r="B332" s="2">
        <v>40558</v>
      </c>
      <c r="C332">
        <v>1</v>
      </c>
      <c r="D332">
        <v>1</v>
      </c>
      <c r="E332">
        <v>6</v>
      </c>
      <c r="F332" t="b">
        <v>0</v>
      </c>
      <c r="G332">
        <v>6</v>
      </c>
      <c r="H332">
        <v>1</v>
      </c>
      <c r="I332">
        <v>0.14000000000000001</v>
      </c>
      <c r="J332">
        <v>0.16669999999999999</v>
      </c>
      <c r="K332">
        <v>0.63</v>
      </c>
      <c r="L332">
        <v>0.1045</v>
      </c>
      <c r="M332">
        <v>1</v>
      </c>
      <c r="N332">
        <v>2</v>
      </c>
      <c r="O332">
        <v>3</v>
      </c>
    </row>
    <row r="333" spans="1:15" x14ac:dyDescent="0.25">
      <c r="A333">
        <v>332</v>
      </c>
      <c r="B333" s="2">
        <v>40558</v>
      </c>
      <c r="C333">
        <v>1</v>
      </c>
      <c r="D333">
        <v>1</v>
      </c>
      <c r="E333">
        <v>7</v>
      </c>
      <c r="F333" t="b">
        <v>0</v>
      </c>
      <c r="G333">
        <v>6</v>
      </c>
      <c r="H333">
        <v>1</v>
      </c>
      <c r="I333">
        <v>0.14000000000000001</v>
      </c>
      <c r="J333">
        <v>0.21210000000000001</v>
      </c>
      <c r="K333">
        <v>0.63</v>
      </c>
      <c r="L333">
        <v>0.42105000000000004</v>
      </c>
      <c r="M333">
        <v>1</v>
      </c>
      <c r="N333">
        <v>9</v>
      </c>
      <c r="O333">
        <v>10</v>
      </c>
    </row>
    <row r="334" spans="1:15" x14ac:dyDescent="0.25">
      <c r="A334">
        <v>333</v>
      </c>
      <c r="B334" s="2">
        <v>40558</v>
      </c>
      <c r="C334">
        <v>1</v>
      </c>
      <c r="D334">
        <v>1</v>
      </c>
      <c r="E334">
        <v>8</v>
      </c>
      <c r="F334" t="b">
        <v>0</v>
      </c>
      <c r="G334">
        <v>6</v>
      </c>
      <c r="H334">
        <v>1</v>
      </c>
      <c r="I334">
        <v>0.14000000000000001</v>
      </c>
      <c r="J334">
        <v>0.1515</v>
      </c>
      <c r="K334">
        <v>0.63</v>
      </c>
      <c r="L334">
        <v>0.1343</v>
      </c>
      <c r="M334">
        <v>1</v>
      </c>
      <c r="N334">
        <v>22</v>
      </c>
      <c r="O334">
        <v>23</v>
      </c>
    </row>
    <row r="335" spans="1:15" x14ac:dyDescent="0.25">
      <c r="A335">
        <v>334</v>
      </c>
      <c r="B335" s="2">
        <v>40558</v>
      </c>
      <c r="C335">
        <v>1</v>
      </c>
      <c r="D335">
        <v>1</v>
      </c>
      <c r="E335">
        <v>9</v>
      </c>
      <c r="F335" t="b">
        <v>0</v>
      </c>
      <c r="G335">
        <v>6</v>
      </c>
      <c r="H335">
        <v>1</v>
      </c>
      <c r="I335">
        <v>0.16</v>
      </c>
      <c r="J335">
        <v>0.18179999999999999</v>
      </c>
      <c r="K335">
        <v>0.64</v>
      </c>
      <c r="L335">
        <v>0.1343</v>
      </c>
      <c r="M335">
        <v>2</v>
      </c>
      <c r="N335">
        <v>31</v>
      </c>
      <c r="O335">
        <v>33</v>
      </c>
    </row>
    <row r="336" spans="1:15" x14ac:dyDescent="0.25">
      <c r="A336">
        <v>335</v>
      </c>
      <c r="B336" s="2">
        <v>40558</v>
      </c>
      <c r="C336">
        <v>1</v>
      </c>
      <c r="D336">
        <v>1</v>
      </c>
      <c r="E336">
        <v>10</v>
      </c>
      <c r="F336" t="b">
        <v>0</v>
      </c>
      <c r="G336">
        <v>6</v>
      </c>
      <c r="H336">
        <v>1</v>
      </c>
      <c r="I336">
        <v>0.18</v>
      </c>
      <c r="J336">
        <v>0.19700000000000001</v>
      </c>
      <c r="K336">
        <v>0.59</v>
      </c>
      <c r="L336">
        <v>0.16420000000000001</v>
      </c>
      <c r="M336">
        <v>2</v>
      </c>
      <c r="N336">
        <v>57</v>
      </c>
      <c r="O336">
        <v>59</v>
      </c>
    </row>
    <row r="337" spans="1:15" x14ac:dyDescent="0.25">
      <c r="A337">
        <v>336</v>
      </c>
      <c r="B337" s="2">
        <v>40558</v>
      </c>
      <c r="C337">
        <v>1</v>
      </c>
      <c r="D337">
        <v>1</v>
      </c>
      <c r="E337">
        <v>11</v>
      </c>
      <c r="F337" t="b">
        <v>0</v>
      </c>
      <c r="G337">
        <v>6</v>
      </c>
      <c r="H337">
        <v>1</v>
      </c>
      <c r="I337">
        <v>0.2</v>
      </c>
      <c r="J337">
        <v>0.19700000000000001</v>
      </c>
      <c r="K337">
        <v>0.55000000000000004</v>
      </c>
      <c r="L337">
        <v>0.22389999999999999</v>
      </c>
      <c r="M337">
        <v>18</v>
      </c>
      <c r="N337">
        <v>54</v>
      </c>
      <c r="O337">
        <v>72</v>
      </c>
    </row>
    <row r="338" spans="1:15" x14ac:dyDescent="0.25">
      <c r="A338">
        <v>337</v>
      </c>
      <c r="B338" s="2">
        <v>40558</v>
      </c>
      <c r="C338">
        <v>1</v>
      </c>
      <c r="D338">
        <v>1</v>
      </c>
      <c r="E338">
        <v>12</v>
      </c>
      <c r="F338" t="b">
        <v>0</v>
      </c>
      <c r="G338">
        <v>6</v>
      </c>
      <c r="H338">
        <v>1</v>
      </c>
      <c r="I338">
        <v>0.24</v>
      </c>
      <c r="J338">
        <v>0.2273</v>
      </c>
      <c r="K338">
        <v>0.48</v>
      </c>
      <c r="L338">
        <v>0.22389999999999999</v>
      </c>
      <c r="M338">
        <v>15</v>
      </c>
      <c r="N338">
        <v>74</v>
      </c>
      <c r="O338">
        <v>89</v>
      </c>
    </row>
    <row r="339" spans="1:15" x14ac:dyDescent="0.25">
      <c r="A339">
        <v>338</v>
      </c>
      <c r="B339" s="2">
        <v>40558</v>
      </c>
      <c r="C339">
        <v>1</v>
      </c>
      <c r="D339">
        <v>1</v>
      </c>
      <c r="E339">
        <v>13</v>
      </c>
      <c r="F339" t="b">
        <v>0</v>
      </c>
      <c r="G339">
        <v>6</v>
      </c>
      <c r="H339">
        <v>1</v>
      </c>
      <c r="I339">
        <v>0.28000000000000003</v>
      </c>
      <c r="J339">
        <v>0.2576</v>
      </c>
      <c r="K339">
        <v>0.38</v>
      </c>
      <c r="L339">
        <v>0.29849999999999999</v>
      </c>
      <c r="M339">
        <v>21</v>
      </c>
      <c r="N339">
        <v>80</v>
      </c>
      <c r="O339">
        <v>101</v>
      </c>
    </row>
    <row r="340" spans="1:15" x14ac:dyDescent="0.25">
      <c r="A340">
        <v>339</v>
      </c>
      <c r="B340" s="2">
        <v>40558</v>
      </c>
      <c r="C340">
        <v>1</v>
      </c>
      <c r="D340">
        <v>1</v>
      </c>
      <c r="E340">
        <v>14</v>
      </c>
      <c r="F340" t="b">
        <v>0</v>
      </c>
      <c r="G340">
        <v>6</v>
      </c>
      <c r="H340">
        <v>1</v>
      </c>
      <c r="I340">
        <v>0.3</v>
      </c>
      <c r="J340">
        <v>0.28789999999999999</v>
      </c>
      <c r="K340">
        <v>0.39</v>
      </c>
      <c r="L340">
        <v>0.28360000000000002</v>
      </c>
      <c r="M340">
        <v>26</v>
      </c>
      <c r="N340">
        <v>92</v>
      </c>
      <c r="O340">
        <v>118</v>
      </c>
    </row>
    <row r="341" spans="1:15" x14ac:dyDescent="0.25">
      <c r="A341">
        <v>340</v>
      </c>
      <c r="B341" s="2">
        <v>40558</v>
      </c>
      <c r="C341">
        <v>1</v>
      </c>
      <c r="D341">
        <v>1</v>
      </c>
      <c r="E341">
        <v>15</v>
      </c>
      <c r="F341" t="b">
        <v>0</v>
      </c>
      <c r="G341">
        <v>6</v>
      </c>
      <c r="H341">
        <v>2</v>
      </c>
      <c r="I341">
        <v>0.32</v>
      </c>
      <c r="J341">
        <v>0.31819999999999998</v>
      </c>
      <c r="K341">
        <v>0.36</v>
      </c>
      <c r="L341">
        <v>0.19400000000000001</v>
      </c>
      <c r="M341">
        <v>21</v>
      </c>
      <c r="N341">
        <v>108</v>
      </c>
      <c r="O341">
        <v>129</v>
      </c>
    </row>
    <row r="342" spans="1:15" x14ac:dyDescent="0.25">
      <c r="A342">
        <v>341</v>
      </c>
      <c r="B342" s="2">
        <v>40558</v>
      </c>
      <c r="C342">
        <v>1</v>
      </c>
      <c r="D342">
        <v>1</v>
      </c>
      <c r="E342">
        <v>16</v>
      </c>
      <c r="F342" t="b">
        <v>0</v>
      </c>
      <c r="G342">
        <v>6</v>
      </c>
      <c r="H342">
        <v>2</v>
      </c>
      <c r="I342">
        <v>0.34</v>
      </c>
      <c r="J342">
        <v>0.33329999999999999</v>
      </c>
      <c r="K342">
        <v>0.34</v>
      </c>
      <c r="L342">
        <v>0.19400000000000001</v>
      </c>
      <c r="M342">
        <v>33</v>
      </c>
      <c r="N342">
        <v>95</v>
      </c>
      <c r="O342">
        <v>128</v>
      </c>
    </row>
    <row r="343" spans="1:15" x14ac:dyDescent="0.25">
      <c r="A343">
        <v>342</v>
      </c>
      <c r="B343" s="2">
        <v>40558</v>
      </c>
      <c r="C343">
        <v>1</v>
      </c>
      <c r="D343">
        <v>1</v>
      </c>
      <c r="E343">
        <v>17</v>
      </c>
      <c r="F343" t="b">
        <v>0</v>
      </c>
      <c r="G343">
        <v>6</v>
      </c>
      <c r="H343">
        <v>2</v>
      </c>
      <c r="I343">
        <v>0.32</v>
      </c>
      <c r="J343">
        <v>0.30299999999999999</v>
      </c>
      <c r="K343">
        <v>0.36</v>
      </c>
      <c r="L343">
        <v>0.28360000000000002</v>
      </c>
      <c r="M343">
        <v>29</v>
      </c>
      <c r="N343">
        <v>54</v>
      </c>
      <c r="O343">
        <v>83</v>
      </c>
    </row>
    <row r="344" spans="1:15" x14ac:dyDescent="0.25">
      <c r="A344">
        <v>343</v>
      </c>
      <c r="B344" s="2">
        <v>40558</v>
      </c>
      <c r="C344">
        <v>1</v>
      </c>
      <c r="D344">
        <v>1</v>
      </c>
      <c r="E344">
        <v>18</v>
      </c>
      <c r="F344" t="b">
        <v>0</v>
      </c>
      <c r="G344">
        <v>6</v>
      </c>
      <c r="H344">
        <v>2</v>
      </c>
      <c r="I344">
        <v>0.3</v>
      </c>
      <c r="J344">
        <v>0.28789999999999999</v>
      </c>
      <c r="K344">
        <v>0.45</v>
      </c>
      <c r="L344">
        <v>0.25369999999999998</v>
      </c>
      <c r="M344">
        <v>15</v>
      </c>
      <c r="N344">
        <v>69</v>
      </c>
      <c r="O344">
        <v>84</v>
      </c>
    </row>
    <row r="345" spans="1:15" x14ac:dyDescent="0.25">
      <c r="A345">
        <v>344</v>
      </c>
      <c r="B345" s="2">
        <v>40558</v>
      </c>
      <c r="C345">
        <v>1</v>
      </c>
      <c r="D345">
        <v>1</v>
      </c>
      <c r="E345">
        <v>19</v>
      </c>
      <c r="F345" t="b">
        <v>0</v>
      </c>
      <c r="G345">
        <v>6</v>
      </c>
      <c r="H345">
        <v>2</v>
      </c>
      <c r="I345">
        <v>0.32</v>
      </c>
      <c r="J345">
        <v>0.30299999999999999</v>
      </c>
      <c r="K345">
        <v>0.39</v>
      </c>
      <c r="L345">
        <v>0.25369999999999998</v>
      </c>
      <c r="M345">
        <v>14</v>
      </c>
      <c r="N345">
        <v>60</v>
      </c>
      <c r="O345">
        <v>74</v>
      </c>
    </row>
    <row r="346" spans="1:15" x14ac:dyDescent="0.25">
      <c r="A346">
        <v>345</v>
      </c>
      <c r="B346" s="2">
        <v>40558</v>
      </c>
      <c r="C346">
        <v>1</v>
      </c>
      <c r="D346">
        <v>1</v>
      </c>
      <c r="E346">
        <v>20</v>
      </c>
      <c r="F346" t="b">
        <v>0</v>
      </c>
      <c r="G346">
        <v>6</v>
      </c>
      <c r="H346">
        <v>2</v>
      </c>
      <c r="I346">
        <v>0.32</v>
      </c>
      <c r="J346">
        <v>0.30299999999999999</v>
      </c>
      <c r="K346">
        <v>0.39</v>
      </c>
      <c r="L346">
        <v>0.25369999999999998</v>
      </c>
      <c r="M346">
        <v>6</v>
      </c>
      <c r="N346">
        <v>35</v>
      </c>
      <c r="O346">
        <v>41</v>
      </c>
    </row>
    <row r="347" spans="1:15" x14ac:dyDescent="0.25">
      <c r="A347">
        <v>346</v>
      </c>
      <c r="B347" s="2">
        <v>40558</v>
      </c>
      <c r="C347">
        <v>1</v>
      </c>
      <c r="D347">
        <v>1</v>
      </c>
      <c r="E347">
        <v>21</v>
      </c>
      <c r="F347" t="b">
        <v>0</v>
      </c>
      <c r="G347">
        <v>6</v>
      </c>
      <c r="H347">
        <v>2</v>
      </c>
      <c r="I347">
        <v>0.32</v>
      </c>
      <c r="J347">
        <v>0.30299999999999999</v>
      </c>
      <c r="K347">
        <v>0.39</v>
      </c>
      <c r="L347">
        <v>0.22389999999999999</v>
      </c>
      <c r="M347">
        <v>6</v>
      </c>
      <c r="N347">
        <v>51</v>
      </c>
      <c r="O347">
        <v>57</v>
      </c>
    </row>
    <row r="348" spans="1:15" x14ac:dyDescent="0.25">
      <c r="A348">
        <v>347</v>
      </c>
      <c r="B348" s="2">
        <v>40558</v>
      </c>
      <c r="C348">
        <v>1</v>
      </c>
      <c r="D348">
        <v>1</v>
      </c>
      <c r="E348">
        <v>22</v>
      </c>
      <c r="F348" t="b">
        <v>0</v>
      </c>
      <c r="G348">
        <v>6</v>
      </c>
      <c r="H348">
        <v>2</v>
      </c>
      <c r="I348">
        <v>0.3</v>
      </c>
      <c r="J348">
        <v>0.31819999999999998</v>
      </c>
      <c r="K348">
        <v>0.42</v>
      </c>
      <c r="L348">
        <v>0.1045</v>
      </c>
      <c r="M348">
        <v>0</v>
      </c>
      <c r="N348">
        <v>26</v>
      </c>
      <c r="O348">
        <v>26</v>
      </c>
    </row>
    <row r="349" spans="1:15" x14ac:dyDescent="0.25">
      <c r="A349">
        <v>348</v>
      </c>
      <c r="B349" s="2">
        <v>40558</v>
      </c>
      <c r="C349">
        <v>1</v>
      </c>
      <c r="D349">
        <v>1</v>
      </c>
      <c r="E349">
        <v>23</v>
      </c>
      <c r="F349" t="b">
        <v>0</v>
      </c>
      <c r="G349">
        <v>6</v>
      </c>
      <c r="H349">
        <v>1</v>
      </c>
      <c r="I349">
        <v>0.3</v>
      </c>
      <c r="J349">
        <v>0.28789999999999999</v>
      </c>
      <c r="K349">
        <v>0.45</v>
      </c>
      <c r="L349">
        <v>0.28360000000000002</v>
      </c>
      <c r="M349">
        <v>5</v>
      </c>
      <c r="N349">
        <v>39</v>
      </c>
      <c r="O349">
        <v>44</v>
      </c>
    </row>
    <row r="350" spans="1:15" x14ac:dyDescent="0.25">
      <c r="A350">
        <v>349</v>
      </c>
      <c r="B350" s="2">
        <v>40559</v>
      </c>
      <c r="C350">
        <v>1</v>
      </c>
      <c r="D350">
        <v>1</v>
      </c>
      <c r="E350">
        <v>0</v>
      </c>
      <c r="F350" t="b">
        <v>0</v>
      </c>
      <c r="G350">
        <v>0</v>
      </c>
      <c r="H350">
        <v>1</v>
      </c>
      <c r="I350">
        <v>0.26</v>
      </c>
      <c r="J350">
        <v>0.30299999999999999</v>
      </c>
      <c r="K350">
        <v>0.56000000000000005</v>
      </c>
      <c r="L350">
        <v>0.43149999999999999</v>
      </c>
      <c r="M350">
        <v>6</v>
      </c>
      <c r="N350">
        <v>33</v>
      </c>
      <c r="O350">
        <v>39</v>
      </c>
    </row>
    <row r="351" spans="1:15" x14ac:dyDescent="0.25">
      <c r="A351">
        <v>350</v>
      </c>
      <c r="B351" s="2">
        <v>40559</v>
      </c>
      <c r="C351">
        <v>1</v>
      </c>
      <c r="D351">
        <v>1</v>
      </c>
      <c r="E351">
        <v>1</v>
      </c>
      <c r="F351" t="b">
        <v>0</v>
      </c>
      <c r="G351">
        <v>0</v>
      </c>
      <c r="H351">
        <v>1</v>
      </c>
      <c r="I351">
        <v>0.26</v>
      </c>
      <c r="J351">
        <v>0.2727</v>
      </c>
      <c r="K351">
        <v>0.56000000000000005</v>
      </c>
      <c r="L351">
        <v>0.1343</v>
      </c>
      <c r="M351">
        <v>4</v>
      </c>
      <c r="N351">
        <v>19</v>
      </c>
      <c r="O351">
        <v>23</v>
      </c>
    </row>
    <row r="352" spans="1:15" x14ac:dyDescent="0.25">
      <c r="A352">
        <v>351</v>
      </c>
      <c r="B352" s="2">
        <v>40559</v>
      </c>
      <c r="C352">
        <v>1</v>
      </c>
      <c r="D352">
        <v>1</v>
      </c>
      <c r="E352">
        <v>2</v>
      </c>
      <c r="F352" t="b">
        <v>0</v>
      </c>
      <c r="G352">
        <v>0</v>
      </c>
      <c r="H352">
        <v>1</v>
      </c>
      <c r="I352">
        <v>0.26</v>
      </c>
      <c r="J352">
        <v>0.28789999999999999</v>
      </c>
      <c r="K352">
        <v>0.56000000000000005</v>
      </c>
      <c r="L352">
        <v>8.9599999999999999E-2</v>
      </c>
      <c r="M352">
        <v>3</v>
      </c>
      <c r="N352">
        <v>13</v>
      </c>
      <c r="O352">
        <v>16</v>
      </c>
    </row>
    <row r="353" spans="1:15" x14ac:dyDescent="0.25">
      <c r="A353">
        <v>352</v>
      </c>
      <c r="B353" s="2">
        <v>40559</v>
      </c>
      <c r="C353">
        <v>1</v>
      </c>
      <c r="D353">
        <v>1</v>
      </c>
      <c r="E353">
        <v>3</v>
      </c>
      <c r="F353" t="b">
        <v>0</v>
      </c>
      <c r="G353">
        <v>0</v>
      </c>
      <c r="H353">
        <v>1</v>
      </c>
      <c r="I353">
        <v>0.22</v>
      </c>
      <c r="J353">
        <v>0.2727</v>
      </c>
      <c r="K353">
        <v>0.69</v>
      </c>
      <c r="L353">
        <v>0.48134999999999994</v>
      </c>
      <c r="M353">
        <v>9</v>
      </c>
      <c r="N353">
        <v>6</v>
      </c>
      <c r="O353">
        <v>15</v>
      </c>
    </row>
    <row r="354" spans="1:15" x14ac:dyDescent="0.25">
      <c r="A354">
        <v>353</v>
      </c>
      <c r="B354" s="2">
        <v>40559</v>
      </c>
      <c r="C354">
        <v>1</v>
      </c>
      <c r="D354">
        <v>1</v>
      </c>
      <c r="E354">
        <v>4</v>
      </c>
      <c r="F354" t="b">
        <v>0</v>
      </c>
      <c r="G354">
        <v>0</v>
      </c>
      <c r="H354">
        <v>1</v>
      </c>
      <c r="I354">
        <v>0.26</v>
      </c>
      <c r="J354">
        <v>0.2576</v>
      </c>
      <c r="K354">
        <v>0.56000000000000005</v>
      </c>
      <c r="L354">
        <v>0.16420000000000001</v>
      </c>
      <c r="M354">
        <v>0</v>
      </c>
      <c r="N354">
        <v>1</v>
      </c>
      <c r="O354">
        <v>1</v>
      </c>
    </row>
    <row r="355" spans="1:15" x14ac:dyDescent="0.25">
      <c r="A355">
        <v>354</v>
      </c>
      <c r="B355" s="2">
        <v>40559</v>
      </c>
      <c r="C355">
        <v>1</v>
      </c>
      <c r="D355">
        <v>1</v>
      </c>
      <c r="E355">
        <v>5</v>
      </c>
      <c r="F355" t="b">
        <v>0</v>
      </c>
      <c r="G355">
        <v>0</v>
      </c>
      <c r="H355">
        <v>2</v>
      </c>
      <c r="I355">
        <v>0.26</v>
      </c>
      <c r="J355">
        <v>0.2576</v>
      </c>
      <c r="K355">
        <v>0.56000000000000005</v>
      </c>
      <c r="L355">
        <v>0.16420000000000001</v>
      </c>
      <c r="M355">
        <v>1</v>
      </c>
      <c r="N355">
        <v>1</v>
      </c>
      <c r="O355">
        <v>2</v>
      </c>
    </row>
    <row r="356" spans="1:15" x14ac:dyDescent="0.25">
      <c r="A356">
        <v>355</v>
      </c>
      <c r="B356" s="2">
        <v>40559</v>
      </c>
      <c r="C356">
        <v>1</v>
      </c>
      <c r="D356">
        <v>1</v>
      </c>
      <c r="E356">
        <v>6</v>
      </c>
      <c r="F356" t="b">
        <v>0</v>
      </c>
      <c r="G356">
        <v>0</v>
      </c>
      <c r="H356">
        <v>2</v>
      </c>
      <c r="I356">
        <v>0.26</v>
      </c>
      <c r="J356">
        <v>0.2576</v>
      </c>
      <c r="K356">
        <v>0.56000000000000005</v>
      </c>
      <c r="L356">
        <v>0.16420000000000001</v>
      </c>
      <c r="M356">
        <v>0</v>
      </c>
      <c r="N356">
        <v>1</v>
      </c>
      <c r="O356">
        <v>1</v>
      </c>
    </row>
    <row r="357" spans="1:15" x14ac:dyDescent="0.25">
      <c r="A357">
        <v>356</v>
      </c>
      <c r="B357" s="2">
        <v>40559</v>
      </c>
      <c r="C357">
        <v>1</v>
      </c>
      <c r="D357">
        <v>1</v>
      </c>
      <c r="E357">
        <v>7</v>
      </c>
      <c r="F357" t="b">
        <v>0</v>
      </c>
      <c r="G357">
        <v>0</v>
      </c>
      <c r="H357">
        <v>2</v>
      </c>
      <c r="I357">
        <v>0.24</v>
      </c>
      <c r="J357">
        <v>0.21210000000000001</v>
      </c>
      <c r="K357">
        <v>0.56000000000000005</v>
      </c>
      <c r="L357">
        <v>0.29849999999999999</v>
      </c>
      <c r="M357">
        <v>0</v>
      </c>
      <c r="N357">
        <v>3</v>
      </c>
      <c r="O357">
        <v>3</v>
      </c>
    </row>
    <row r="358" spans="1:15" x14ac:dyDescent="0.25">
      <c r="A358">
        <v>357</v>
      </c>
      <c r="B358" s="2">
        <v>40559</v>
      </c>
      <c r="C358">
        <v>1</v>
      </c>
      <c r="D358">
        <v>1</v>
      </c>
      <c r="E358">
        <v>8</v>
      </c>
      <c r="F358" t="b">
        <v>0</v>
      </c>
      <c r="G358">
        <v>0</v>
      </c>
      <c r="H358">
        <v>1</v>
      </c>
      <c r="I358">
        <v>0.22</v>
      </c>
      <c r="J358">
        <v>0.21210000000000001</v>
      </c>
      <c r="K358">
        <v>0.55000000000000004</v>
      </c>
      <c r="L358">
        <v>0.28360000000000002</v>
      </c>
      <c r="M358">
        <v>0</v>
      </c>
      <c r="N358">
        <v>18</v>
      </c>
      <c r="O358">
        <v>18</v>
      </c>
    </row>
    <row r="359" spans="1:15" x14ac:dyDescent="0.25">
      <c r="A359">
        <v>358</v>
      </c>
      <c r="B359" s="2">
        <v>40559</v>
      </c>
      <c r="C359">
        <v>1</v>
      </c>
      <c r="D359">
        <v>1</v>
      </c>
      <c r="E359">
        <v>9</v>
      </c>
      <c r="F359" t="b">
        <v>0</v>
      </c>
      <c r="G359">
        <v>0</v>
      </c>
      <c r="H359">
        <v>1</v>
      </c>
      <c r="I359">
        <v>0.22</v>
      </c>
      <c r="J359">
        <v>0.21210000000000001</v>
      </c>
      <c r="K359">
        <v>0.51</v>
      </c>
      <c r="L359">
        <v>0.25369999999999998</v>
      </c>
      <c r="M359">
        <v>3</v>
      </c>
      <c r="N359">
        <v>29</v>
      </c>
      <c r="O359">
        <v>32</v>
      </c>
    </row>
    <row r="360" spans="1:15" x14ac:dyDescent="0.25">
      <c r="A360">
        <v>359</v>
      </c>
      <c r="B360" s="2">
        <v>40559</v>
      </c>
      <c r="C360">
        <v>1</v>
      </c>
      <c r="D360">
        <v>1</v>
      </c>
      <c r="E360">
        <v>10</v>
      </c>
      <c r="F360" t="b">
        <v>0</v>
      </c>
      <c r="G360">
        <v>0</v>
      </c>
      <c r="H360">
        <v>1</v>
      </c>
      <c r="I360">
        <v>0.22</v>
      </c>
      <c r="J360">
        <v>0.21210000000000001</v>
      </c>
      <c r="K360">
        <v>0.51</v>
      </c>
      <c r="L360">
        <v>0.28360000000000002</v>
      </c>
      <c r="M360">
        <v>8</v>
      </c>
      <c r="N360">
        <v>71</v>
      </c>
      <c r="O360">
        <v>79</v>
      </c>
    </row>
    <row r="361" spans="1:15" x14ac:dyDescent="0.25">
      <c r="A361">
        <v>360</v>
      </c>
      <c r="B361" s="2">
        <v>40559</v>
      </c>
      <c r="C361">
        <v>1</v>
      </c>
      <c r="D361">
        <v>1</v>
      </c>
      <c r="E361">
        <v>11</v>
      </c>
      <c r="F361" t="b">
        <v>0</v>
      </c>
      <c r="G361">
        <v>0</v>
      </c>
      <c r="H361">
        <v>1</v>
      </c>
      <c r="I361">
        <v>0.24</v>
      </c>
      <c r="J361">
        <v>0.2273</v>
      </c>
      <c r="K361">
        <v>0.44</v>
      </c>
      <c r="L361">
        <v>0.25369999999999998</v>
      </c>
      <c r="M361">
        <v>23</v>
      </c>
      <c r="N361">
        <v>70</v>
      </c>
      <c r="O361">
        <v>93</v>
      </c>
    </row>
    <row r="362" spans="1:15" x14ac:dyDescent="0.25">
      <c r="A362">
        <v>361</v>
      </c>
      <c r="B362" s="2">
        <v>40559</v>
      </c>
      <c r="C362">
        <v>1</v>
      </c>
      <c r="D362">
        <v>1</v>
      </c>
      <c r="E362">
        <v>12</v>
      </c>
      <c r="F362" t="b">
        <v>0</v>
      </c>
      <c r="G362">
        <v>0</v>
      </c>
      <c r="H362">
        <v>1</v>
      </c>
      <c r="I362">
        <v>0.24</v>
      </c>
      <c r="J362">
        <v>0.21210000000000001</v>
      </c>
      <c r="K362">
        <v>0.41</v>
      </c>
      <c r="L362">
        <v>0.28360000000000002</v>
      </c>
      <c r="M362">
        <v>29</v>
      </c>
      <c r="N362">
        <v>75</v>
      </c>
      <c r="O362">
        <v>104</v>
      </c>
    </row>
    <row r="363" spans="1:15" x14ac:dyDescent="0.25">
      <c r="A363">
        <v>362</v>
      </c>
      <c r="B363" s="2">
        <v>40559</v>
      </c>
      <c r="C363">
        <v>1</v>
      </c>
      <c r="D363">
        <v>1</v>
      </c>
      <c r="E363">
        <v>13</v>
      </c>
      <c r="F363" t="b">
        <v>0</v>
      </c>
      <c r="G363">
        <v>0</v>
      </c>
      <c r="H363">
        <v>1</v>
      </c>
      <c r="I363">
        <v>0.26</v>
      </c>
      <c r="J363">
        <v>0.2273</v>
      </c>
      <c r="K363">
        <v>0.35</v>
      </c>
      <c r="L363">
        <v>0.29849999999999999</v>
      </c>
      <c r="M363">
        <v>23</v>
      </c>
      <c r="N363">
        <v>95</v>
      </c>
      <c r="O363">
        <v>118</v>
      </c>
    </row>
    <row r="364" spans="1:15" x14ac:dyDescent="0.25">
      <c r="A364">
        <v>363</v>
      </c>
      <c r="B364" s="2">
        <v>40559</v>
      </c>
      <c r="C364">
        <v>1</v>
      </c>
      <c r="D364">
        <v>1</v>
      </c>
      <c r="E364">
        <v>14</v>
      </c>
      <c r="F364" t="b">
        <v>0</v>
      </c>
      <c r="G364">
        <v>0</v>
      </c>
      <c r="H364">
        <v>1</v>
      </c>
      <c r="I364">
        <v>0.28000000000000003</v>
      </c>
      <c r="J364">
        <v>0.2727</v>
      </c>
      <c r="K364">
        <v>0.36</v>
      </c>
      <c r="L364">
        <v>0.25369999999999998</v>
      </c>
      <c r="M364">
        <v>22</v>
      </c>
      <c r="N364">
        <v>69</v>
      </c>
      <c r="O364">
        <v>91</v>
      </c>
    </row>
    <row r="365" spans="1:15" x14ac:dyDescent="0.25">
      <c r="A365">
        <v>364</v>
      </c>
      <c r="B365" s="2">
        <v>40559</v>
      </c>
      <c r="C365">
        <v>1</v>
      </c>
      <c r="D365">
        <v>1</v>
      </c>
      <c r="E365">
        <v>15</v>
      </c>
      <c r="F365" t="b">
        <v>0</v>
      </c>
      <c r="G365">
        <v>0</v>
      </c>
      <c r="H365">
        <v>1</v>
      </c>
      <c r="I365">
        <v>0.26</v>
      </c>
      <c r="J365">
        <v>0.2424</v>
      </c>
      <c r="K365">
        <v>0.38</v>
      </c>
      <c r="L365">
        <v>0.25369999999999998</v>
      </c>
      <c r="M365">
        <v>35</v>
      </c>
      <c r="N365">
        <v>78</v>
      </c>
      <c r="O365">
        <v>113</v>
      </c>
    </row>
    <row r="366" spans="1:15" x14ac:dyDescent="0.25">
      <c r="A366">
        <v>365</v>
      </c>
      <c r="B366" s="2">
        <v>40559</v>
      </c>
      <c r="C366">
        <v>1</v>
      </c>
      <c r="D366">
        <v>1</v>
      </c>
      <c r="E366">
        <v>16</v>
      </c>
      <c r="F366" t="b">
        <v>0</v>
      </c>
      <c r="G366">
        <v>0</v>
      </c>
      <c r="H366">
        <v>1</v>
      </c>
      <c r="I366">
        <v>0.24</v>
      </c>
      <c r="J366">
        <v>0.2273</v>
      </c>
      <c r="K366">
        <v>0.38</v>
      </c>
      <c r="L366">
        <v>0.22389999999999999</v>
      </c>
      <c r="M366">
        <v>22</v>
      </c>
      <c r="N366">
        <v>77</v>
      </c>
      <c r="O366">
        <v>99</v>
      </c>
    </row>
    <row r="367" spans="1:15" x14ac:dyDescent="0.25">
      <c r="A367">
        <v>366</v>
      </c>
      <c r="B367" s="2">
        <v>40559</v>
      </c>
      <c r="C367">
        <v>1</v>
      </c>
      <c r="D367">
        <v>1</v>
      </c>
      <c r="E367">
        <v>17</v>
      </c>
      <c r="F367" t="b">
        <v>0</v>
      </c>
      <c r="G367">
        <v>0</v>
      </c>
      <c r="H367">
        <v>1</v>
      </c>
      <c r="I367">
        <v>0.22</v>
      </c>
      <c r="J367">
        <v>0.21210000000000001</v>
      </c>
      <c r="K367">
        <v>0.37</v>
      </c>
      <c r="L367">
        <v>0.25369999999999998</v>
      </c>
      <c r="M367">
        <v>23</v>
      </c>
      <c r="N367">
        <v>82</v>
      </c>
      <c r="O367">
        <v>105</v>
      </c>
    </row>
    <row r="368" spans="1:15" x14ac:dyDescent="0.25">
      <c r="A368">
        <v>367</v>
      </c>
      <c r="B368" s="2">
        <v>40559</v>
      </c>
      <c r="C368">
        <v>1</v>
      </c>
      <c r="D368">
        <v>1</v>
      </c>
      <c r="E368">
        <v>18</v>
      </c>
      <c r="F368" t="b">
        <v>0</v>
      </c>
      <c r="G368">
        <v>0</v>
      </c>
      <c r="H368">
        <v>1</v>
      </c>
      <c r="I368">
        <v>0.2</v>
      </c>
      <c r="J368">
        <v>0.21210000000000001</v>
      </c>
      <c r="K368">
        <v>0.4</v>
      </c>
      <c r="L368">
        <v>0.16420000000000001</v>
      </c>
      <c r="M368">
        <v>11</v>
      </c>
      <c r="N368">
        <v>56</v>
      </c>
      <c r="O368">
        <v>67</v>
      </c>
    </row>
    <row r="369" spans="1:15" x14ac:dyDescent="0.25">
      <c r="A369">
        <v>368</v>
      </c>
      <c r="B369" s="2">
        <v>40559</v>
      </c>
      <c r="C369">
        <v>1</v>
      </c>
      <c r="D369">
        <v>1</v>
      </c>
      <c r="E369">
        <v>19</v>
      </c>
      <c r="F369" t="b">
        <v>0</v>
      </c>
      <c r="G369">
        <v>0</v>
      </c>
      <c r="H369">
        <v>1</v>
      </c>
      <c r="I369">
        <v>0.18</v>
      </c>
      <c r="J369">
        <v>0.19700000000000001</v>
      </c>
      <c r="K369">
        <v>0.47</v>
      </c>
      <c r="L369">
        <v>0.1343</v>
      </c>
      <c r="M369">
        <v>14</v>
      </c>
      <c r="N369">
        <v>47</v>
      </c>
      <c r="O369">
        <v>61</v>
      </c>
    </row>
    <row r="370" spans="1:15" x14ac:dyDescent="0.25">
      <c r="A370">
        <v>369</v>
      </c>
      <c r="B370" s="2">
        <v>40559</v>
      </c>
      <c r="C370">
        <v>1</v>
      </c>
      <c r="D370">
        <v>1</v>
      </c>
      <c r="E370">
        <v>20</v>
      </c>
      <c r="F370" t="b">
        <v>0</v>
      </c>
      <c r="G370">
        <v>0</v>
      </c>
      <c r="H370">
        <v>1</v>
      </c>
      <c r="I370">
        <v>0.18</v>
      </c>
      <c r="J370">
        <v>0.19700000000000001</v>
      </c>
      <c r="K370">
        <v>0.47</v>
      </c>
      <c r="L370">
        <v>0.16420000000000001</v>
      </c>
      <c r="M370">
        <v>7</v>
      </c>
      <c r="N370">
        <v>50</v>
      </c>
      <c r="O370">
        <v>57</v>
      </c>
    </row>
    <row r="371" spans="1:15" x14ac:dyDescent="0.25">
      <c r="A371">
        <v>370</v>
      </c>
      <c r="B371" s="2">
        <v>40559</v>
      </c>
      <c r="C371">
        <v>1</v>
      </c>
      <c r="D371">
        <v>1</v>
      </c>
      <c r="E371">
        <v>21</v>
      </c>
      <c r="F371" t="b">
        <v>0</v>
      </c>
      <c r="G371">
        <v>0</v>
      </c>
      <c r="H371">
        <v>1</v>
      </c>
      <c r="I371">
        <v>0.18</v>
      </c>
      <c r="J371">
        <v>0.19700000000000001</v>
      </c>
      <c r="K371">
        <v>0.51</v>
      </c>
      <c r="L371">
        <v>0.16420000000000001</v>
      </c>
      <c r="M371">
        <v>6</v>
      </c>
      <c r="N371">
        <v>22</v>
      </c>
      <c r="O371">
        <v>28</v>
      </c>
    </row>
    <row r="372" spans="1:15" x14ac:dyDescent="0.25">
      <c r="A372">
        <v>371</v>
      </c>
      <c r="B372" s="2">
        <v>40559</v>
      </c>
      <c r="C372">
        <v>1</v>
      </c>
      <c r="D372">
        <v>1</v>
      </c>
      <c r="E372">
        <v>22</v>
      </c>
      <c r="F372" t="b">
        <v>0</v>
      </c>
      <c r="G372">
        <v>0</v>
      </c>
      <c r="H372">
        <v>2</v>
      </c>
      <c r="I372">
        <v>0.2</v>
      </c>
      <c r="J372">
        <v>0.21210000000000001</v>
      </c>
      <c r="K372">
        <v>0.49</v>
      </c>
      <c r="L372">
        <v>0.1343</v>
      </c>
      <c r="M372">
        <v>2</v>
      </c>
      <c r="N372">
        <v>19</v>
      </c>
      <c r="O372">
        <v>21</v>
      </c>
    </row>
    <row r="373" spans="1:15" x14ac:dyDescent="0.25">
      <c r="A373">
        <v>372</v>
      </c>
      <c r="B373" s="2">
        <v>40559</v>
      </c>
      <c r="C373">
        <v>1</v>
      </c>
      <c r="D373">
        <v>1</v>
      </c>
      <c r="E373">
        <v>23</v>
      </c>
      <c r="F373" t="b">
        <v>0</v>
      </c>
      <c r="G373">
        <v>0</v>
      </c>
      <c r="H373">
        <v>2</v>
      </c>
      <c r="I373">
        <v>0.2</v>
      </c>
      <c r="J373">
        <v>0.2273</v>
      </c>
      <c r="K373">
        <v>0.4</v>
      </c>
      <c r="L373">
        <v>0.1045</v>
      </c>
      <c r="M373">
        <v>0</v>
      </c>
      <c r="N373">
        <v>18</v>
      </c>
      <c r="O373">
        <v>18</v>
      </c>
    </row>
    <row r="374" spans="1:15" x14ac:dyDescent="0.25">
      <c r="A374">
        <v>373</v>
      </c>
      <c r="B374" s="2">
        <v>40560</v>
      </c>
      <c r="C374">
        <v>1</v>
      </c>
      <c r="D374">
        <v>1</v>
      </c>
      <c r="E374">
        <v>0</v>
      </c>
      <c r="F374" t="b">
        <v>1</v>
      </c>
      <c r="G374">
        <v>1</v>
      </c>
      <c r="H374">
        <v>2</v>
      </c>
      <c r="I374">
        <v>0.2</v>
      </c>
      <c r="J374">
        <v>0.19700000000000001</v>
      </c>
      <c r="K374">
        <v>0.47</v>
      </c>
      <c r="L374">
        <v>0.22389999999999999</v>
      </c>
      <c r="M374">
        <v>1</v>
      </c>
      <c r="N374">
        <v>16</v>
      </c>
      <c r="O374">
        <v>17</v>
      </c>
    </row>
    <row r="375" spans="1:15" x14ac:dyDescent="0.25">
      <c r="A375">
        <v>374</v>
      </c>
      <c r="B375" s="2">
        <v>40560</v>
      </c>
      <c r="C375">
        <v>1</v>
      </c>
      <c r="D375">
        <v>1</v>
      </c>
      <c r="E375">
        <v>1</v>
      </c>
      <c r="F375" t="b">
        <v>1</v>
      </c>
      <c r="G375">
        <v>1</v>
      </c>
      <c r="H375">
        <v>2</v>
      </c>
      <c r="I375">
        <v>0.2</v>
      </c>
      <c r="J375">
        <v>0.19700000000000001</v>
      </c>
      <c r="K375">
        <v>0.44</v>
      </c>
      <c r="L375">
        <v>0.19400000000000001</v>
      </c>
      <c r="M375">
        <v>1</v>
      </c>
      <c r="N375">
        <v>15</v>
      </c>
      <c r="O375">
        <v>16</v>
      </c>
    </row>
    <row r="376" spans="1:15" x14ac:dyDescent="0.25">
      <c r="A376">
        <v>375</v>
      </c>
      <c r="B376" s="2">
        <v>40560</v>
      </c>
      <c r="C376">
        <v>1</v>
      </c>
      <c r="D376">
        <v>1</v>
      </c>
      <c r="E376">
        <v>2</v>
      </c>
      <c r="F376" t="b">
        <v>1</v>
      </c>
      <c r="G376">
        <v>1</v>
      </c>
      <c r="H376">
        <v>2</v>
      </c>
      <c r="I376">
        <v>0.18</v>
      </c>
      <c r="J376">
        <v>0.16669999999999999</v>
      </c>
      <c r="K376">
        <v>0.43</v>
      </c>
      <c r="L376">
        <v>0.25369999999999998</v>
      </c>
      <c r="M376">
        <v>0</v>
      </c>
      <c r="N376">
        <v>8</v>
      </c>
      <c r="O376">
        <v>8</v>
      </c>
    </row>
    <row r="377" spans="1:15" x14ac:dyDescent="0.25">
      <c r="A377">
        <v>376</v>
      </c>
      <c r="B377" s="2">
        <v>40560</v>
      </c>
      <c r="C377">
        <v>1</v>
      </c>
      <c r="D377">
        <v>1</v>
      </c>
      <c r="E377">
        <v>3</v>
      </c>
      <c r="F377" t="b">
        <v>1</v>
      </c>
      <c r="G377">
        <v>1</v>
      </c>
      <c r="H377">
        <v>2</v>
      </c>
      <c r="I377">
        <v>0.18</v>
      </c>
      <c r="J377">
        <v>0.18179999999999999</v>
      </c>
      <c r="K377">
        <v>0.43</v>
      </c>
      <c r="L377">
        <v>0.19400000000000001</v>
      </c>
      <c r="M377">
        <v>0</v>
      </c>
      <c r="N377">
        <v>2</v>
      </c>
      <c r="O377">
        <v>2</v>
      </c>
    </row>
    <row r="378" spans="1:15" x14ac:dyDescent="0.25">
      <c r="A378">
        <v>377</v>
      </c>
      <c r="B378" s="2">
        <v>40560</v>
      </c>
      <c r="C378">
        <v>1</v>
      </c>
      <c r="D378">
        <v>1</v>
      </c>
      <c r="E378">
        <v>4</v>
      </c>
      <c r="F378" t="b">
        <v>1</v>
      </c>
      <c r="G378">
        <v>1</v>
      </c>
      <c r="H378">
        <v>2</v>
      </c>
      <c r="I378">
        <v>0.18</v>
      </c>
      <c r="J378">
        <v>0.19700000000000001</v>
      </c>
      <c r="K378">
        <v>0.43</v>
      </c>
      <c r="L378">
        <v>0.1343</v>
      </c>
      <c r="M378">
        <v>1</v>
      </c>
      <c r="N378">
        <v>2</v>
      </c>
      <c r="O378">
        <v>3</v>
      </c>
    </row>
    <row r="379" spans="1:15" x14ac:dyDescent="0.25">
      <c r="A379">
        <v>378</v>
      </c>
      <c r="B379" s="2">
        <v>40560</v>
      </c>
      <c r="C379">
        <v>1</v>
      </c>
      <c r="D379">
        <v>1</v>
      </c>
      <c r="E379">
        <v>5</v>
      </c>
      <c r="F379" t="b">
        <v>1</v>
      </c>
      <c r="G379">
        <v>1</v>
      </c>
      <c r="H379">
        <v>2</v>
      </c>
      <c r="I379">
        <v>0.18</v>
      </c>
      <c r="J379">
        <v>0.19700000000000001</v>
      </c>
      <c r="K379">
        <v>0.43</v>
      </c>
      <c r="L379">
        <v>0.16420000000000001</v>
      </c>
      <c r="M379">
        <v>0</v>
      </c>
      <c r="N379">
        <v>1</v>
      </c>
      <c r="O379">
        <v>1</v>
      </c>
    </row>
    <row r="380" spans="1:15" x14ac:dyDescent="0.25">
      <c r="A380">
        <v>379</v>
      </c>
      <c r="B380" s="2">
        <v>40560</v>
      </c>
      <c r="C380">
        <v>1</v>
      </c>
      <c r="D380">
        <v>1</v>
      </c>
      <c r="E380">
        <v>6</v>
      </c>
      <c r="F380" t="b">
        <v>1</v>
      </c>
      <c r="G380">
        <v>1</v>
      </c>
      <c r="H380">
        <v>2</v>
      </c>
      <c r="I380">
        <v>0.18</v>
      </c>
      <c r="J380">
        <v>0.18179999999999999</v>
      </c>
      <c r="K380">
        <v>0.43</v>
      </c>
      <c r="L380">
        <v>0.19400000000000001</v>
      </c>
      <c r="M380">
        <v>0</v>
      </c>
      <c r="N380">
        <v>5</v>
      </c>
      <c r="O380">
        <v>5</v>
      </c>
    </row>
    <row r="381" spans="1:15" x14ac:dyDescent="0.25">
      <c r="A381">
        <v>380</v>
      </c>
      <c r="B381" s="2">
        <v>40560</v>
      </c>
      <c r="C381">
        <v>1</v>
      </c>
      <c r="D381">
        <v>1</v>
      </c>
      <c r="E381">
        <v>7</v>
      </c>
      <c r="F381" t="b">
        <v>1</v>
      </c>
      <c r="G381">
        <v>1</v>
      </c>
      <c r="H381">
        <v>2</v>
      </c>
      <c r="I381">
        <v>0.16</v>
      </c>
      <c r="J381">
        <v>0.18179999999999999</v>
      </c>
      <c r="K381">
        <v>0.5</v>
      </c>
      <c r="L381">
        <v>0.1343</v>
      </c>
      <c r="M381">
        <v>4</v>
      </c>
      <c r="N381">
        <v>9</v>
      </c>
      <c r="O381">
        <v>13</v>
      </c>
    </row>
    <row r="382" spans="1:15" x14ac:dyDescent="0.25">
      <c r="A382">
        <v>381</v>
      </c>
      <c r="B382" s="2">
        <v>40560</v>
      </c>
      <c r="C382">
        <v>1</v>
      </c>
      <c r="D382">
        <v>1</v>
      </c>
      <c r="E382">
        <v>8</v>
      </c>
      <c r="F382" t="b">
        <v>1</v>
      </c>
      <c r="G382">
        <v>1</v>
      </c>
      <c r="H382">
        <v>2</v>
      </c>
      <c r="I382">
        <v>0.16</v>
      </c>
      <c r="J382">
        <v>0.1515</v>
      </c>
      <c r="K382">
        <v>0.47</v>
      </c>
      <c r="L382">
        <v>0.22389999999999999</v>
      </c>
      <c r="M382">
        <v>3</v>
      </c>
      <c r="N382">
        <v>30</v>
      </c>
      <c r="O382">
        <v>33</v>
      </c>
    </row>
    <row r="383" spans="1:15" x14ac:dyDescent="0.25">
      <c r="A383">
        <v>382</v>
      </c>
      <c r="B383" s="2">
        <v>40560</v>
      </c>
      <c r="C383">
        <v>1</v>
      </c>
      <c r="D383">
        <v>1</v>
      </c>
      <c r="E383">
        <v>9</v>
      </c>
      <c r="F383" t="b">
        <v>1</v>
      </c>
      <c r="G383">
        <v>1</v>
      </c>
      <c r="H383">
        <v>2</v>
      </c>
      <c r="I383">
        <v>0.16</v>
      </c>
      <c r="J383">
        <v>0.1515</v>
      </c>
      <c r="K383">
        <v>0.47</v>
      </c>
      <c r="L383">
        <v>0.22389999999999999</v>
      </c>
      <c r="M383">
        <v>8</v>
      </c>
      <c r="N383">
        <v>39</v>
      </c>
      <c r="O383">
        <v>47</v>
      </c>
    </row>
    <row r="384" spans="1:15" x14ac:dyDescent="0.25">
      <c r="A384">
        <v>383</v>
      </c>
      <c r="B384" s="2">
        <v>40560</v>
      </c>
      <c r="C384">
        <v>1</v>
      </c>
      <c r="D384">
        <v>1</v>
      </c>
      <c r="E384">
        <v>10</v>
      </c>
      <c r="F384" t="b">
        <v>1</v>
      </c>
      <c r="G384">
        <v>1</v>
      </c>
      <c r="H384">
        <v>2</v>
      </c>
      <c r="I384">
        <v>0.16</v>
      </c>
      <c r="J384">
        <v>0.1515</v>
      </c>
      <c r="K384">
        <v>0.5</v>
      </c>
      <c r="L384">
        <v>0.25369999999999998</v>
      </c>
      <c r="M384">
        <v>7</v>
      </c>
      <c r="N384">
        <v>50</v>
      </c>
      <c r="O384">
        <v>57</v>
      </c>
    </row>
    <row r="385" spans="1:15" x14ac:dyDescent="0.25">
      <c r="A385">
        <v>384</v>
      </c>
      <c r="B385" s="2">
        <v>40560</v>
      </c>
      <c r="C385">
        <v>1</v>
      </c>
      <c r="D385">
        <v>1</v>
      </c>
      <c r="E385">
        <v>11</v>
      </c>
      <c r="F385" t="b">
        <v>1</v>
      </c>
      <c r="G385">
        <v>1</v>
      </c>
      <c r="H385">
        <v>2</v>
      </c>
      <c r="I385">
        <v>0.16</v>
      </c>
      <c r="J385">
        <v>0.1515</v>
      </c>
      <c r="K385">
        <v>0.55000000000000004</v>
      </c>
      <c r="L385">
        <v>0.19400000000000001</v>
      </c>
      <c r="M385">
        <v>9</v>
      </c>
      <c r="N385">
        <v>55</v>
      </c>
      <c r="O385">
        <v>64</v>
      </c>
    </row>
    <row r="386" spans="1:15" x14ac:dyDescent="0.25">
      <c r="A386">
        <v>385</v>
      </c>
      <c r="B386" s="2">
        <v>40560</v>
      </c>
      <c r="C386">
        <v>1</v>
      </c>
      <c r="D386">
        <v>1</v>
      </c>
      <c r="E386">
        <v>12</v>
      </c>
      <c r="F386" t="b">
        <v>1</v>
      </c>
      <c r="G386">
        <v>1</v>
      </c>
      <c r="H386">
        <v>2</v>
      </c>
      <c r="I386">
        <v>0.18</v>
      </c>
      <c r="J386">
        <v>0.19700000000000001</v>
      </c>
      <c r="K386">
        <v>0.47</v>
      </c>
      <c r="L386">
        <v>0.1343</v>
      </c>
      <c r="M386">
        <v>10</v>
      </c>
      <c r="N386">
        <v>70</v>
      </c>
      <c r="O386">
        <v>80</v>
      </c>
    </row>
    <row r="387" spans="1:15" x14ac:dyDescent="0.25">
      <c r="A387">
        <v>386</v>
      </c>
      <c r="B387" s="2">
        <v>40560</v>
      </c>
      <c r="C387">
        <v>1</v>
      </c>
      <c r="D387">
        <v>1</v>
      </c>
      <c r="E387">
        <v>13</v>
      </c>
      <c r="F387" t="b">
        <v>1</v>
      </c>
      <c r="G387">
        <v>1</v>
      </c>
      <c r="H387">
        <v>2</v>
      </c>
      <c r="I387">
        <v>0.18</v>
      </c>
      <c r="J387">
        <v>0.19700000000000001</v>
      </c>
      <c r="K387">
        <v>0.47</v>
      </c>
      <c r="L387">
        <v>0.1343</v>
      </c>
      <c r="M387">
        <v>13</v>
      </c>
      <c r="N387">
        <v>80</v>
      </c>
      <c r="O387">
        <v>93</v>
      </c>
    </row>
    <row r="388" spans="1:15" x14ac:dyDescent="0.25">
      <c r="A388">
        <v>387</v>
      </c>
      <c r="B388" s="2">
        <v>40560</v>
      </c>
      <c r="C388">
        <v>1</v>
      </c>
      <c r="D388">
        <v>1</v>
      </c>
      <c r="E388">
        <v>14</v>
      </c>
      <c r="F388" t="b">
        <v>1</v>
      </c>
      <c r="G388">
        <v>1</v>
      </c>
      <c r="H388">
        <v>2</v>
      </c>
      <c r="I388">
        <v>0.18</v>
      </c>
      <c r="J388">
        <v>0.21210000000000001</v>
      </c>
      <c r="K388">
        <v>0.43</v>
      </c>
      <c r="L388">
        <v>0.1045</v>
      </c>
      <c r="M388">
        <v>12</v>
      </c>
      <c r="N388">
        <v>74</v>
      </c>
      <c r="O388">
        <v>86</v>
      </c>
    </row>
    <row r="389" spans="1:15" x14ac:dyDescent="0.25">
      <c r="A389">
        <v>388</v>
      </c>
      <c r="B389" s="2">
        <v>40560</v>
      </c>
      <c r="C389">
        <v>1</v>
      </c>
      <c r="D389">
        <v>1</v>
      </c>
      <c r="E389">
        <v>15</v>
      </c>
      <c r="F389" t="b">
        <v>1</v>
      </c>
      <c r="G389">
        <v>1</v>
      </c>
      <c r="H389">
        <v>2</v>
      </c>
      <c r="I389">
        <v>0.2</v>
      </c>
      <c r="J389">
        <v>0.21210000000000001</v>
      </c>
      <c r="K389">
        <v>0.47</v>
      </c>
      <c r="L389">
        <v>0.16420000000000001</v>
      </c>
      <c r="M389">
        <v>21</v>
      </c>
      <c r="N389">
        <v>72</v>
      </c>
      <c r="O389">
        <v>93</v>
      </c>
    </row>
    <row r="390" spans="1:15" x14ac:dyDescent="0.25">
      <c r="A390">
        <v>389</v>
      </c>
      <c r="B390" s="2">
        <v>40560</v>
      </c>
      <c r="C390">
        <v>1</v>
      </c>
      <c r="D390">
        <v>1</v>
      </c>
      <c r="E390">
        <v>16</v>
      </c>
      <c r="F390" t="b">
        <v>1</v>
      </c>
      <c r="G390">
        <v>1</v>
      </c>
      <c r="H390">
        <v>2</v>
      </c>
      <c r="I390">
        <v>0.2</v>
      </c>
      <c r="J390">
        <v>0.21210000000000001</v>
      </c>
      <c r="K390">
        <v>0.47</v>
      </c>
      <c r="L390">
        <v>0.16420000000000001</v>
      </c>
      <c r="M390">
        <v>6</v>
      </c>
      <c r="N390">
        <v>76</v>
      </c>
      <c r="O390">
        <v>82</v>
      </c>
    </row>
    <row r="391" spans="1:15" x14ac:dyDescent="0.25">
      <c r="A391">
        <v>390</v>
      </c>
      <c r="B391" s="2">
        <v>40560</v>
      </c>
      <c r="C391">
        <v>1</v>
      </c>
      <c r="D391">
        <v>1</v>
      </c>
      <c r="E391">
        <v>17</v>
      </c>
      <c r="F391" t="b">
        <v>1</v>
      </c>
      <c r="G391">
        <v>1</v>
      </c>
      <c r="H391">
        <v>1</v>
      </c>
      <c r="I391">
        <v>0.2</v>
      </c>
      <c r="J391">
        <v>0.19700000000000001</v>
      </c>
      <c r="K391">
        <v>0.51</v>
      </c>
      <c r="L391">
        <v>0.19400000000000001</v>
      </c>
      <c r="M391">
        <v>4</v>
      </c>
      <c r="N391">
        <v>67</v>
      </c>
      <c r="O391">
        <v>71</v>
      </c>
    </row>
    <row r="392" spans="1:15" x14ac:dyDescent="0.25">
      <c r="A392">
        <v>391</v>
      </c>
      <c r="B392" s="2">
        <v>40560</v>
      </c>
      <c r="C392">
        <v>1</v>
      </c>
      <c r="D392">
        <v>1</v>
      </c>
      <c r="E392">
        <v>18</v>
      </c>
      <c r="F392" t="b">
        <v>1</v>
      </c>
      <c r="G392">
        <v>1</v>
      </c>
      <c r="H392">
        <v>2</v>
      </c>
      <c r="I392">
        <v>0.18</v>
      </c>
      <c r="J392">
        <v>0.16669999999999999</v>
      </c>
      <c r="K392">
        <v>0.55000000000000004</v>
      </c>
      <c r="L392">
        <v>0.25369999999999998</v>
      </c>
      <c r="M392">
        <v>7</v>
      </c>
      <c r="N392">
        <v>85</v>
      </c>
      <c r="O392">
        <v>92</v>
      </c>
    </row>
    <row r="393" spans="1:15" x14ac:dyDescent="0.25">
      <c r="A393">
        <v>392</v>
      </c>
      <c r="B393" s="2">
        <v>40560</v>
      </c>
      <c r="C393">
        <v>1</v>
      </c>
      <c r="D393">
        <v>1</v>
      </c>
      <c r="E393">
        <v>19</v>
      </c>
      <c r="F393" t="b">
        <v>1</v>
      </c>
      <c r="G393">
        <v>1</v>
      </c>
      <c r="H393">
        <v>3</v>
      </c>
      <c r="I393">
        <v>0.18</v>
      </c>
      <c r="J393">
        <v>0.18179999999999999</v>
      </c>
      <c r="K393">
        <v>0.59</v>
      </c>
      <c r="L393">
        <v>0.19400000000000001</v>
      </c>
      <c r="M393">
        <v>2</v>
      </c>
      <c r="N393">
        <v>58</v>
      </c>
      <c r="O393">
        <v>60</v>
      </c>
    </row>
    <row r="394" spans="1:15" x14ac:dyDescent="0.25">
      <c r="A394">
        <v>393</v>
      </c>
      <c r="B394" s="2">
        <v>40560</v>
      </c>
      <c r="C394">
        <v>1</v>
      </c>
      <c r="D394">
        <v>1</v>
      </c>
      <c r="E394">
        <v>20</v>
      </c>
      <c r="F394" t="b">
        <v>1</v>
      </c>
      <c r="G394">
        <v>1</v>
      </c>
      <c r="H394">
        <v>3</v>
      </c>
      <c r="I394">
        <v>0.16</v>
      </c>
      <c r="J394">
        <v>0.1515</v>
      </c>
      <c r="K394">
        <v>0.8</v>
      </c>
      <c r="L394">
        <v>0.19400000000000001</v>
      </c>
      <c r="M394">
        <v>4</v>
      </c>
      <c r="N394">
        <v>29</v>
      </c>
      <c r="O394">
        <v>33</v>
      </c>
    </row>
    <row r="395" spans="1:15" x14ac:dyDescent="0.25">
      <c r="A395">
        <v>394</v>
      </c>
      <c r="B395" s="2">
        <v>40560</v>
      </c>
      <c r="C395">
        <v>1</v>
      </c>
      <c r="D395">
        <v>1</v>
      </c>
      <c r="E395">
        <v>21</v>
      </c>
      <c r="F395" t="b">
        <v>1</v>
      </c>
      <c r="G395">
        <v>1</v>
      </c>
      <c r="H395">
        <v>3</v>
      </c>
      <c r="I395">
        <v>0.16</v>
      </c>
      <c r="J395">
        <v>0.1515</v>
      </c>
      <c r="K395">
        <v>0.8</v>
      </c>
      <c r="L395">
        <v>0.19400000000000001</v>
      </c>
      <c r="M395">
        <v>3</v>
      </c>
      <c r="N395">
        <v>24</v>
      </c>
      <c r="O395">
        <v>27</v>
      </c>
    </row>
    <row r="396" spans="1:15" x14ac:dyDescent="0.25">
      <c r="A396">
        <v>395</v>
      </c>
      <c r="B396" s="2">
        <v>40560</v>
      </c>
      <c r="C396">
        <v>1</v>
      </c>
      <c r="D396">
        <v>1</v>
      </c>
      <c r="E396">
        <v>22</v>
      </c>
      <c r="F396" t="b">
        <v>1</v>
      </c>
      <c r="G396">
        <v>1</v>
      </c>
      <c r="H396">
        <v>3</v>
      </c>
      <c r="I396">
        <v>0.14000000000000001</v>
      </c>
      <c r="J396">
        <v>0.1212</v>
      </c>
      <c r="K396">
        <v>0.93</v>
      </c>
      <c r="L396">
        <v>0.25369999999999998</v>
      </c>
      <c r="M396">
        <v>0</v>
      </c>
      <c r="N396">
        <v>13</v>
      </c>
      <c r="O396">
        <v>13</v>
      </c>
    </row>
    <row r="397" spans="1:15" x14ac:dyDescent="0.25">
      <c r="A397">
        <v>396</v>
      </c>
      <c r="B397" s="2">
        <v>40560</v>
      </c>
      <c r="C397">
        <v>1</v>
      </c>
      <c r="D397">
        <v>1</v>
      </c>
      <c r="E397">
        <v>23</v>
      </c>
      <c r="F397" t="b">
        <v>1</v>
      </c>
      <c r="G397">
        <v>1</v>
      </c>
      <c r="H397">
        <v>3</v>
      </c>
      <c r="I397">
        <v>0.16</v>
      </c>
      <c r="J397">
        <v>0.13639999999999999</v>
      </c>
      <c r="K397">
        <v>0.86</v>
      </c>
      <c r="L397">
        <v>0.28360000000000002</v>
      </c>
      <c r="M397">
        <v>1</v>
      </c>
      <c r="N397">
        <v>3</v>
      </c>
      <c r="O397">
        <v>4</v>
      </c>
    </row>
    <row r="398" spans="1:15" x14ac:dyDescent="0.25">
      <c r="A398">
        <v>397</v>
      </c>
      <c r="B398" s="2">
        <v>40561</v>
      </c>
      <c r="C398">
        <v>1</v>
      </c>
      <c r="D398">
        <v>1</v>
      </c>
      <c r="E398">
        <v>12</v>
      </c>
      <c r="F398" t="b">
        <v>0</v>
      </c>
      <c r="G398">
        <v>2</v>
      </c>
      <c r="H398">
        <v>2</v>
      </c>
      <c r="I398">
        <v>0.2</v>
      </c>
      <c r="J398">
        <v>0.18179999999999999</v>
      </c>
      <c r="K398">
        <v>0.86</v>
      </c>
      <c r="L398">
        <v>0.32840000000000003</v>
      </c>
      <c r="M398">
        <v>0</v>
      </c>
      <c r="N398">
        <v>3</v>
      </c>
      <c r="O398">
        <v>3</v>
      </c>
    </row>
    <row r="399" spans="1:15" x14ac:dyDescent="0.25">
      <c r="A399">
        <v>398</v>
      </c>
      <c r="B399" s="2">
        <v>40561</v>
      </c>
      <c r="C399">
        <v>1</v>
      </c>
      <c r="D399">
        <v>1</v>
      </c>
      <c r="E399">
        <v>13</v>
      </c>
      <c r="F399" t="b">
        <v>0</v>
      </c>
      <c r="G399">
        <v>2</v>
      </c>
      <c r="H399">
        <v>2</v>
      </c>
      <c r="I399">
        <v>0.2</v>
      </c>
      <c r="J399">
        <v>0.19700000000000001</v>
      </c>
      <c r="K399">
        <v>0.86</v>
      </c>
      <c r="L399">
        <v>0.22389999999999999</v>
      </c>
      <c r="M399">
        <v>0</v>
      </c>
      <c r="N399">
        <v>22</v>
      </c>
      <c r="O399">
        <v>22</v>
      </c>
    </row>
    <row r="400" spans="1:15" x14ac:dyDescent="0.25">
      <c r="A400">
        <v>399</v>
      </c>
      <c r="B400" s="2">
        <v>40561</v>
      </c>
      <c r="C400">
        <v>1</v>
      </c>
      <c r="D400">
        <v>1</v>
      </c>
      <c r="E400">
        <v>14</v>
      </c>
      <c r="F400" t="b">
        <v>0</v>
      </c>
      <c r="G400">
        <v>2</v>
      </c>
      <c r="H400">
        <v>2</v>
      </c>
      <c r="I400">
        <v>0.22</v>
      </c>
      <c r="J400">
        <v>0.2273</v>
      </c>
      <c r="K400">
        <v>0.8</v>
      </c>
      <c r="L400">
        <v>0.16420000000000001</v>
      </c>
      <c r="M400">
        <v>2</v>
      </c>
      <c r="N400">
        <v>26</v>
      </c>
      <c r="O400">
        <v>28</v>
      </c>
    </row>
    <row r="401" spans="1:15" x14ac:dyDescent="0.25">
      <c r="A401">
        <v>400</v>
      </c>
      <c r="B401" s="2">
        <v>40561</v>
      </c>
      <c r="C401">
        <v>1</v>
      </c>
      <c r="D401">
        <v>1</v>
      </c>
      <c r="E401">
        <v>15</v>
      </c>
      <c r="F401" t="b">
        <v>0</v>
      </c>
      <c r="G401">
        <v>2</v>
      </c>
      <c r="H401">
        <v>2</v>
      </c>
      <c r="I401">
        <v>0.22</v>
      </c>
      <c r="J401">
        <v>0.2273</v>
      </c>
      <c r="K401">
        <v>0.87</v>
      </c>
      <c r="L401">
        <v>0.16420000000000001</v>
      </c>
      <c r="M401">
        <v>3</v>
      </c>
      <c r="N401">
        <v>32</v>
      </c>
      <c r="O401">
        <v>35</v>
      </c>
    </row>
    <row r="402" spans="1:15" x14ac:dyDescent="0.25">
      <c r="A402">
        <v>401</v>
      </c>
      <c r="B402" s="2">
        <v>40561</v>
      </c>
      <c r="C402">
        <v>1</v>
      </c>
      <c r="D402">
        <v>1</v>
      </c>
      <c r="E402">
        <v>16</v>
      </c>
      <c r="F402" t="b">
        <v>0</v>
      </c>
      <c r="G402">
        <v>2</v>
      </c>
      <c r="H402">
        <v>2</v>
      </c>
      <c r="I402">
        <v>0.22</v>
      </c>
      <c r="J402">
        <v>0.2273</v>
      </c>
      <c r="K402">
        <v>0.87</v>
      </c>
      <c r="L402">
        <v>0.19400000000000001</v>
      </c>
      <c r="M402">
        <v>0</v>
      </c>
      <c r="N402">
        <v>61</v>
      </c>
      <c r="O402">
        <v>61</v>
      </c>
    </row>
    <row r="403" spans="1:15" x14ac:dyDescent="0.25">
      <c r="A403">
        <v>402</v>
      </c>
      <c r="B403" s="2">
        <v>40561</v>
      </c>
      <c r="C403">
        <v>1</v>
      </c>
      <c r="D403">
        <v>1</v>
      </c>
      <c r="E403">
        <v>17</v>
      </c>
      <c r="F403" t="b">
        <v>0</v>
      </c>
      <c r="G403">
        <v>2</v>
      </c>
      <c r="H403">
        <v>2</v>
      </c>
      <c r="I403">
        <v>0.22</v>
      </c>
      <c r="J403">
        <v>0.2273</v>
      </c>
      <c r="K403">
        <v>0.82</v>
      </c>
      <c r="L403">
        <v>0.19400000000000001</v>
      </c>
      <c r="M403">
        <v>1</v>
      </c>
      <c r="N403">
        <v>124</v>
      </c>
      <c r="O403">
        <v>125</v>
      </c>
    </row>
    <row r="404" spans="1:15" x14ac:dyDescent="0.25">
      <c r="A404">
        <v>403</v>
      </c>
      <c r="B404" s="2">
        <v>40561</v>
      </c>
      <c r="C404">
        <v>1</v>
      </c>
      <c r="D404">
        <v>1</v>
      </c>
      <c r="E404">
        <v>18</v>
      </c>
      <c r="F404" t="b">
        <v>0</v>
      </c>
      <c r="G404">
        <v>2</v>
      </c>
      <c r="H404">
        <v>2</v>
      </c>
      <c r="I404">
        <v>0.22</v>
      </c>
      <c r="J404">
        <v>0.2273</v>
      </c>
      <c r="K404">
        <v>0.8</v>
      </c>
      <c r="L404">
        <v>0.16420000000000001</v>
      </c>
      <c r="M404">
        <v>1</v>
      </c>
      <c r="N404">
        <v>132</v>
      </c>
      <c r="O404">
        <v>133</v>
      </c>
    </row>
    <row r="405" spans="1:15" x14ac:dyDescent="0.25">
      <c r="A405">
        <v>404</v>
      </c>
      <c r="B405" s="2">
        <v>40561</v>
      </c>
      <c r="C405">
        <v>1</v>
      </c>
      <c r="D405">
        <v>1</v>
      </c>
      <c r="E405">
        <v>19</v>
      </c>
      <c r="F405" t="b">
        <v>0</v>
      </c>
      <c r="G405">
        <v>2</v>
      </c>
      <c r="H405">
        <v>2</v>
      </c>
      <c r="I405">
        <v>0.22</v>
      </c>
      <c r="J405">
        <v>0.2273</v>
      </c>
      <c r="K405">
        <v>0.8</v>
      </c>
      <c r="L405">
        <v>0.1343</v>
      </c>
      <c r="M405">
        <v>1</v>
      </c>
      <c r="N405">
        <v>98</v>
      </c>
      <c r="O405">
        <v>99</v>
      </c>
    </row>
    <row r="406" spans="1:15" x14ac:dyDescent="0.25">
      <c r="A406">
        <v>405</v>
      </c>
      <c r="B406" s="2">
        <v>40561</v>
      </c>
      <c r="C406">
        <v>1</v>
      </c>
      <c r="D406">
        <v>1</v>
      </c>
      <c r="E406">
        <v>20</v>
      </c>
      <c r="F406" t="b">
        <v>0</v>
      </c>
      <c r="G406">
        <v>2</v>
      </c>
      <c r="H406">
        <v>2</v>
      </c>
      <c r="I406">
        <v>0.22</v>
      </c>
      <c r="J406">
        <v>0.2727</v>
      </c>
      <c r="K406">
        <v>0.87</v>
      </c>
      <c r="L406">
        <v>0.57135000000000002</v>
      </c>
      <c r="M406">
        <v>0</v>
      </c>
      <c r="N406">
        <v>83</v>
      </c>
      <c r="O406">
        <v>83</v>
      </c>
    </row>
    <row r="407" spans="1:15" x14ac:dyDescent="0.25">
      <c r="A407">
        <v>406</v>
      </c>
      <c r="B407" s="2">
        <v>40561</v>
      </c>
      <c r="C407">
        <v>1</v>
      </c>
      <c r="D407">
        <v>1</v>
      </c>
      <c r="E407">
        <v>21</v>
      </c>
      <c r="F407" t="b">
        <v>0</v>
      </c>
      <c r="G407">
        <v>2</v>
      </c>
      <c r="H407">
        <v>2</v>
      </c>
      <c r="I407">
        <v>0.22</v>
      </c>
      <c r="J407">
        <v>0.2424</v>
      </c>
      <c r="K407">
        <v>0.93</v>
      </c>
      <c r="L407">
        <v>0.1045</v>
      </c>
      <c r="M407">
        <v>0</v>
      </c>
      <c r="N407">
        <v>41</v>
      </c>
      <c r="O407">
        <v>41</v>
      </c>
    </row>
    <row r="408" spans="1:15" x14ac:dyDescent="0.25">
      <c r="A408">
        <v>407</v>
      </c>
      <c r="B408" s="2">
        <v>40561</v>
      </c>
      <c r="C408">
        <v>1</v>
      </c>
      <c r="D408">
        <v>1</v>
      </c>
      <c r="E408">
        <v>22</v>
      </c>
      <c r="F408" t="b">
        <v>0</v>
      </c>
      <c r="G408">
        <v>2</v>
      </c>
      <c r="H408">
        <v>2</v>
      </c>
      <c r="I408">
        <v>0.22</v>
      </c>
      <c r="J408">
        <v>0.2576</v>
      </c>
      <c r="K408">
        <v>0.93</v>
      </c>
      <c r="L408">
        <v>8.9599999999999999E-2</v>
      </c>
      <c r="M408">
        <v>0</v>
      </c>
      <c r="N408">
        <v>33</v>
      </c>
      <c r="O408">
        <v>33</v>
      </c>
    </row>
    <row r="409" spans="1:15" x14ac:dyDescent="0.25">
      <c r="A409">
        <v>408</v>
      </c>
      <c r="B409" s="2">
        <v>40561</v>
      </c>
      <c r="C409">
        <v>1</v>
      </c>
      <c r="D409">
        <v>1</v>
      </c>
      <c r="E409">
        <v>23</v>
      </c>
      <c r="F409" t="b">
        <v>0</v>
      </c>
      <c r="G409">
        <v>2</v>
      </c>
      <c r="H409">
        <v>2</v>
      </c>
      <c r="I409">
        <v>0.22</v>
      </c>
      <c r="J409">
        <v>0.2727</v>
      </c>
      <c r="K409">
        <v>0.93</v>
      </c>
      <c r="L409">
        <v>0.60135000000000005</v>
      </c>
      <c r="M409">
        <v>1</v>
      </c>
      <c r="N409">
        <v>19</v>
      </c>
      <c r="O409">
        <v>20</v>
      </c>
    </row>
    <row r="410" spans="1:15" x14ac:dyDescent="0.25">
      <c r="A410">
        <v>409</v>
      </c>
      <c r="B410" s="2">
        <v>40562</v>
      </c>
      <c r="C410">
        <v>1</v>
      </c>
      <c r="D410">
        <v>1</v>
      </c>
      <c r="E410">
        <v>0</v>
      </c>
      <c r="F410" t="b">
        <v>0</v>
      </c>
      <c r="G410">
        <v>3</v>
      </c>
      <c r="H410">
        <v>2</v>
      </c>
      <c r="I410">
        <v>0.22</v>
      </c>
      <c r="J410">
        <v>0.2727</v>
      </c>
      <c r="K410">
        <v>0.93</v>
      </c>
      <c r="L410">
        <v>0.60135000000000005</v>
      </c>
      <c r="M410">
        <v>0</v>
      </c>
      <c r="N410">
        <v>3</v>
      </c>
      <c r="O410">
        <v>3</v>
      </c>
    </row>
    <row r="411" spans="1:15" x14ac:dyDescent="0.25">
      <c r="A411">
        <v>410</v>
      </c>
      <c r="B411" s="2">
        <v>40562</v>
      </c>
      <c r="C411">
        <v>1</v>
      </c>
      <c r="D411">
        <v>1</v>
      </c>
      <c r="E411">
        <v>1</v>
      </c>
      <c r="F411" t="b">
        <v>0</v>
      </c>
      <c r="G411">
        <v>3</v>
      </c>
      <c r="H411">
        <v>3</v>
      </c>
      <c r="I411">
        <v>0.22</v>
      </c>
      <c r="J411">
        <v>0.2273</v>
      </c>
      <c r="K411">
        <v>0.93</v>
      </c>
      <c r="L411">
        <v>0.1343</v>
      </c>
      <c r="M411">
        <v>1</v>
      </c>
      <c r="N411">
        <v>6</v>
      </c>
      <c r="O411">
        <v>7</v>
      </c>
    </row>
    <row r="412" spans="1:15" x14ac:dyDescent="0.25">
      <c r="A412">
        <v>411</v>
      </c>
      <c r="B412" s="2">
        <v>40562</v>
      </c>
      <c r="C412">
        <v>1</v>
      </c>
      <c r="D412">
        <v>1</v>
      </c>
      <c r="E412">
        <v>2</v>
      </c>
      <c r="F412" t="b">
        <v>0</v>
      </c>
      <c r="G412">
        <v>3</v>
      </c>
      <c r="H412">
        <v>3</v>
      </c>
      <c r="I412">
        <v>0.22</v>
      </c>
      <c r="J412">
        <v>0.2273</v>
      </c>
      <c r="K412">
        <v>0.93</v>
      </c>
      <c r="L412">
        <v>0.1343</v>
      </c>
      <c r="M412">
        <v>0</v>
      </c>
      <c r="N412">
        <v>3</v>
      </c>
      <c r="O412">
        <v>3</v>
      </c>
    </row>
    <row r="413" spans="1:15" x14ac:dyDescent="0.25">
      <c r="A413">
        <v>412</v>
      </c>
      <c r="B413" s="2">
        <v>40562</v>
      </c>
      <c r="C413">
        <v>1</v>
      </c>
      <c r="D413">
        <v>1</v>
      </c>
      <c r="E413">
        <v>4</v>
      </c>
      <c r="F413" t="b">
        <v>0</v>
      </c>
      <c r="G413">
        <v>3</v>
      </c>
      <c r="H413">
        <v>3</v>
      </c>
      <c r="I413">
        <v>0.22</v>
      </c>
      <c r="J413">
        <v>0.2273</v>
      </c>
      <c r="K413">
        <v>0.93</v>
      </c>
      <c r="L413">
        <v>0.1343</v>
      </c>
      <c r="M413">
        <v>1</v>
      </c>
      <c r="N413">
        <v>1</v>
      </c>
      <c r="O413">
        <v>2</v>
      </c>
    </row>
    <row r="414" spans="1:15" x14ac:dyDescent="0.25">
      <c r="A414">
        <v>413</v>
      </c>
      <c r="B414" s="2">
        <v>40562</v>
      </c>
      <c r="C414">
        <v>1</v>
      </c>
      <c r="D414">
        <v>1</v>
      </c>
      <c r="E414">
        <v>5</v>
      </c>
      <c r="F414" t="b">
        <v>0</v>
      </c>
      <c r="G414">
        <v>3</v>
      </c>
      <c r="H414">
        <v>2</v>
      </c>
      <c r="I414">
        <v>0.22</v>
      </c>
      <c r="J414">
        <v>0.2576</v>
      </c>
      <c r="K414">
        <v>0.93</v>
      </c>
      <c r="L414">
        <v>8.9599999999999999E-2</v>
      </c>
      <c r="M414">
        <v>0</v>
      </c>
      <c r="N414">
        <v>7</v>
      </c>
      <c r="O414">
        <v>7</v>
      </c>
    </row>
    <row r="415" spans="1:15" x14ac:dyDescent="0.25">
      <c r="A415">
        <v>414</v>
      </c>
      <c r="B415" s="2">
        <v>40562</v>
      </c>
      <c r="C415">
        <v>1</v>
      </c>
      <c r="D415">
        <v>1</v>
      </c>
      <c r="E415">
        <v>6</v>
      </c>
      <c r="F415" t="b">
        <v>0</v>
      </c>
      <c r="G415">
        <v>3</v>
      </c>
      <c r="H415">
        <v>2</v>
      </c>
      <c r="I415">
        <v>0.22</v>
      </c>
      <c r="J415">
        <v>0.2576</v>
      </c>
      <c r="K415">
        <v>0.93</v>
      </c>
      <c r="L415">
        <v>8.9599999999999999E-2</v>
      </c>
      <c r="M415">
        <v>0</v>
      </c>
      <c r="N415">
        <v>32</v>
      </c>
      <c r="O415">
        <v>32</v>
      </c>
    </row>
    <row r="416" spans="1:15" x14ac:dyDescent="0.25">
      <c r="A416">
        <v>415</v>
      </c>
      <c r="B416" s="2">
        <v>40562</v>
      </c>
      <c r="C416">
        <v>1</v>
      </c>
      <c r="D416">
        <v>1</v>
      </c>
      <c r="E416">
        <v>7</v>
      </c>
      <c r="F416" t="b">
        <v>0</v>
      </c>
      <c r="G416">
        <v>3</v>
      </c>
      <c r="H416">
        <v>2</v>
      </c>
      <c r="I416">
        <v>0.24</v>
      </c>
      <c r="J416">
        <v>0.2576</v>
      </c>
      <c r="K416">
        <v>0.92</v>
      </c>
      <c r="L416">
        <v>0.1045</v>
      </c>
      <c r="M416">
        <v>1</v>
      </c>
      <c r="N416">
        <v>89</v>
      </c>
      <c r="O416">
        <v>90</v>
      </c>
    </row>
    <row r="417" spans="1:15" x14ac:dyDescent="0.25">
      <c r="A417">
        <v>416</v>
      </c>
      <c r="B417" s="2">
        <v>40562</v>
      </c>
      <c r="C417">
        <v>1</v>
      </c>
      <c r="D417">
        <v>1</v>
      </c>
      <c r="E417">
        <v>8</v>
      </c>
      <c r="F417" t="b">
        <v>0</v>
      </c>
      <c r="G417">
        <v>3</v>
      </c>
      <c r="H417">
        <v>2</v>
      </c>
      <c r="I417">
        <v>0.24</v>
      </c>
      <c r="J417">
        <v>0.2576</v>
      </c>
      <c r="K417">
        <v>0.93</v>
      </c>
      <c r="L417">
        <v>0.1045</v>
      </c>
      <c r="M417">
        <v>1</v>
      </c>
      <c r="N417">
        <v>196</v>
      </c>
      <c r="O417">
        <v>197</v>
      </c>
    </row>
    <row r="418" spans="1:15" x14ac:dyDescent="0.25">
      <c r="A418">
        <v>417</v>
      </c>
      <c r="B418" s="2">
        <v>40562</v>
      </c>
      <c r="C418">
        <v>1</v>
      </c>
      <c r="D418">
        <v>1</v>
      </c>
      <c r="E418">
        <v>9</v>
      </c>
      <c r="F418" t="b">
        <v>0</v>
      </c>
      <c r="G418">
        <v>3</v>
      </c>
      <c r="H418">
        <v>2</v>
      </c>
      <c r="I418">
        <v>0.24</v>
      </c>
      <c r="J418">
        <v>0.2576</v>
      </c>
      <c r="K418">
        <v>0.93</v>
      </c>
      <c r="L418">
        <v>0.1045</v>
      </c>
      <c r="M418">
        <v>2</v>
      </c>
      <c r="N418">
        <v>107</v>
      </c>
      <c r="O418">
        <v>109</v>
      </c>
    </row>
    <row r="419" spans="1:15" x14ac:dyDescent="0.25">
      <c r="A419">
        <v>418</v>
      </c>
      <c r="B419" s="2">
        <v>40562</v>
      </c>
      <c r="C419">
        <v>1</v>
      </c>
      <c r="D419">
        <v>1</v>
      </c>
      <c r="E419">
        <v>10</v>
      </c>
      <c r="F419" t="b">
        <v>0</v>
      </c>
      <c r="G419">
        <v>3</v>
      </c>
      <c r="H419">
        <v>2</v>
      </c>
      <c r="I419">
        <v>0.26</v>
      </c>
      <c r="J419">
        <v>0.2727</v>
      </c>
      <c r="K419">
        <v>0.93</v>
      </c>
      <c r="L419">
        <v>0.1343</v>
      </c>
      <c r="M419">
        <v>1</v>
      </c>
      <c r="N419">
        <v>46</v>
      </c>
      <c r="O419">
        <v>47</v>
      </c>
    </row>
    <row r="420" spans="1:15" x14ac:dyDescent="0.25">
      <c r="A420">
        <v>419</v>
      </c>
      <c r="B420" s="2">
        <v>40562</v>
      </c>
      <c r="C420">
        <v>1</v>
      </c>
      <c r="D420">
        <v>1</v>
      </c>
      <c r="E420">
        <v>11</v>
      </c>
      <c r="F420" t="b">
        <v>0</v>
      </c>
      <c r="G420">
        <v>3</v>
      </c>
      <c r="H420">
        <v>2</v>
      </c>
      <c r="I420">
        <v>0.28000000000000003</v>
      </c>
      <c r="J420">
        <v>0.30299999999999999</v>
      </c>
      <c r="K420">
        <v>0.87</v>
      </c>
      <c r="L420">
        <v>8.9599999999999999E-2</v>
      </c>
      <c r="M420">
        <v>5</v>
      </c>
      <c r="N420">
        <v>47</v>
      </c>
      <c r="O420">
        <v>52</v>
      </c>
    </row>
    <row r="421" spans="1:15" x14ac:dyDescent="0.25">
      <c r="A421">
        <v>420</v>
      </c>
      <c r="B421" s="2">
        <v>40562</v>
      </c>
      <c r="C421">
        <v>1</v>
      </c>
      <c r="D421">
        <v>1</v>
      </c>
      <c r="E421">
        <v>12</v>
      </c>
      <c r="F421" t="b">
        <v>0</v>
      </c>
      <c r="G421">
        <v>3</v>
      </c>
      <c r="H421">
        <v>2</v>
      </c>
      <c r="I421">
        <v>0.3</v>
      </c>
      <c r="J421">
        <v>0.31819999999999998</v>
      </c>
      <c r="K421">
        <v>0.81</v>
      </c>
      <c r="L421">
        <v>8.9599999999999999E-2</v>
      </c>
      <c r="M421">
        <v>5</v>
      </c>
      <c r="N421">
        <v>65</v>
      </c>
      <c r="O421">
        <v>70</v>
      </c>
    </row>
    <row r="422" spans="1:15" x14ac:dyDescent="0.25">
      <c r="A422">
        <v>421</v>
      </c>
      <c r="B422" s="2">
        <v>40562</v>
      </c>
      <c r="C422">
        <v>1</v>
      </c>
      <c r="D422">
        <v>1</v>
      </c>
      <c r="E422">
        <v>13</v>
      </c>
      <c r="F422" t="b">
        <v>0</v>
      </c>
      <c r="G422">
        <v>3</v>
      </c>
      <c r="H422">
        <v>1</v>
      </c>
      <c r="I422">
        <v>0.4</v>
      </c>
      <c r="J422">
        <v>0.40910000000000002</v>
      </c>
      <c r="K422">
        <v>0.62</v>
      </c>
      <c r="L422">
        <v>0.28360000000000002</v>
      </c>
      <c r="M422">
        <v>11</v>
      </c>
      <c r="N422">
        <v>67</v>
      </c>
      <c r="O422">
        <v>78</v>
      </c>
    </row>
    <row r="423" spans="1:15" x14ac:dyDescent="0.25">
      <c r="A423">
        <v>422</v>
      </c>
      <c r="B423" s="2">
        <v>40562</v>
      </c>
      <c r="C423">
        <v>1</v>
      </c>
      <c r="D423">
        <v>1</v>
      </c>
      <c r="E423">
        <v>14</v>
      </c>
      <c r="F423" t="b">
        <v>0</v>
      </c>
      <c r="G423">
        <v>3</v>
      </c>
      <c r="H423">
        <v>1</v>
      </c>
      <c r="I423">
        <v>0.4</v>
      </c>
      <c r="J423">
        <v>0.40910000000000002</v>
      </c>
      <c r="K423">
        <v>0.57999999999999996</v>
      </c>
      <c r="L423">
        <v>0.25369999999999998</v>
      </c>
      <c r="M423">
        <v>7</v>
      </c>
      <c r="N423">
        <v>68</v>
      </c>
      <c r="O423">
        <v>75</v>
      </c>
    </row>
    <row r="424" spans="1:15" x14ac:dyDescent="0.25">
      <c r="A424">
        <v>423</v>
      </c>
      <c r="B424" s="2">
        <v>40562</v>
      </c>
      <c r="C424">
        <v>1</v>
      </c>
      <c r="D424">
        <v>1</v>
      </c>
      <c r="E424">
        <v>15</v>
      </c>
      <c r="F424" t="b">
        <v>0</v>
      </c>
      <c r="G424">
        <v>3</v>
      </c>
      <c r="H424">
        <v>1</v>
      </c>
      <c r="I424">
        <v>0.4</v>
      </c>
      <c r="J424">
        <v>0.40910000000000002</v>
      </c>
      <c r="K424">
        <v>0.54</v>
      </c>
      <c r="L424">
        <v>0.28360000000000002</v>
      </c>
      <c r="M424">
        <v>4</v>
      </c>
      <c r="N424">
        <v>78</v>
      </c>
      <c r="O424">
        <v>82</v>
      </c>
    </row>
    <row r="425" spans="1:15" x14ac:dyDescent="0.25">
      <c r="A425">
        <v>424</v>
      </c>
      <c r="B425" s="2">
        <v>40562</v>
      </c>
      <c r="C425">
        <v>1</v>
      </c>
      <c r="D425">
        <v>1</v>
      </c>
      <c r="E425">
        <v>16</v>
      </c>
      <c r="F425" t="b">
        <v>0</v>
      </c>
      <c r="G425">
        <v>3</v>
      </c>
      <c r="H425">
        <v>1</v>
      </c>
      <c r="I425">
        <v>0.38</v>
      </c>
      <c r="J425">
        <v>0.39389999999999997</v>
      </c>
      <c r="K425">
        <v>0.57999999999999996</v>
      </c>
      <c r="L425">
        <v>0.3881</v>
      </c>
      <c r="M425">
        <v>10</v>
      </c>
      <c r="N425">
        <v>94</v>
      </c>
      <c r="O425">
        <v>104</v>
      </c>
    </row>
    <row r="426" spans="1:15" x14ac:dyDescent="0.25">
      <c r="A426">
        <v>425</v>
      </c>
      <c r="B426" s="2">
        <v>40562</v>
      </c>
      <c r="C426">
        <v>1</v>
      </c>
      <c r="D426">
        <v>1</v>
      </c>
      <c r="E426">
        <v>17</v>
      </c>
      <c r="F426" t="b">
        <v>0</v>
      </c>
      <c r="G426">
        <v>3</v>
      </c>
      <c r="H426">
        <v>1</v>
      </c>
      <c r="I426">
        <v>0.36</v>
      </c>
      <c r="J426">
        <v>0.33329999999999999</v>
      </c>
      <c r="K426">
        <v>0.56999999999999995</v>
      </c>
      <c r="L426">
        <v>0.32840000000000003</v>
      </c>
      <c r="M426">
        <v>7</v>
      </c>
      <c r="N426">
        <v>190</v>
      </c>
      <c r="O426">
        <v>197</v>
      </c>
    </row>
    <row r="427" spans="1:15" x14ac:dyDescent="0.25">
      <c r="A427">
        <v>426</v>
      </c>
      <c r="B427" s="2">
        <v>40562</v>
      </c>
      <c r="C427">
        <v>1</v>
      </c>
      <c r="D427">
        <v>1</v>
      </c>
      <c r="E427">
        <v>18</v>
      </c>
      <c r="F427" t="b">
        <v>0</v>
      </c>
      <c r="G427">
        <v>3</v>
      </c>
      <c r="H427">
        <v>1</v>
      </c>
      <c r="I427">
        <v>0.34</v>
      </c>
      <c r="J427">
        <v>0.31819999999999998</v>
      </c>
      <c r="K427">
        <v>0.61</v>
      </c>
      <c r="L427">
        <v>0.28360000000000002</v>
      </c>
      <c r="M427">
        <v>5</v>
      </c>
      <c r="N427">
        <v>156</v>
      </c>
      <c r="O427">
        <v>161</v>
      </c>
    </row>
    <row r="428" spans="1:15" x14ac:dyDescent="0.25">
      <c r="A428">
        <v>427</v>
      </c>
      <c r="B428" s="2">
        <v>40562</v>
      </c>
      <c r="C428">
        <v>1</v>
      </c>
      <c r="D428">
        <v>1</v>
      </c>
      <c r="E428">
        <v>19</v>
      </c>
      <c r="F428" t="b">
        <v>0</v>
      </c>
      <c r="G428">
        <v>3</v>
      </c>
      <c r="H428">
        <v>1</v>
      </c>
      <c r="I428">
        <v>0.32</v>
      </c>
      <c r="J428">
        <v>0.28789999999999999</v>
      </c>
      <c r="K428">
        <v>0.56999999999999995</v>
      </c>
      <c r="L428">
        <v>0.41789999999999999</v>
      </c>
      <c r="M428">
        <v>4</v>
      </c>
      <c r="N428">
        <v>108</v>
      </c>
      <c r="O428">
        <v>112</v>
      </c>
    </row>
    <row r="429" spans="1:15" x14ac:dyDescent="0.25">
      <c r="A429">
        <v>428</v>
      </c>
      <c r="B429" s="2">
        <v>40562</v>
      </c>
      <c r="C429">
        <v>1</v>
      </c>
      <c r="D429">
        <v>1</v>
      </c>
      <c r="E429">
        <v>20</v>
      </c>
      <c r="F429" t="b">
        <v>0</v>
      </c>
      <c r="G429">
        <v>3</v>
      </c>
      <c r="H429">
        <v>1</v>
      </c>
      <c r="I429">
        <v>0.32</v>
      </c>
      <c r="J429">
        <v>0.30299999999999999</v>
      </c>
      <c r="K429">
        <v>0.49</v>
      </c>
      <c r="L429">
        <v>0.29849999999999999</v>
      </c>
      <c r="M429">
        <v>2</v>
      </c>
      <c r="N429">
        <v>74</v>
      </c>
      <c r="O429">
        <v>76</v>
      </c>
    </row>
    <row r="430" spans="1:15" x14ac:dyDescent="0.25">
      <c r="A430">
        <v>429</v>
      </c>
      <c r="B430" s="2">
        <v>40562</v>
      </c>
      <c r="C430">
        <v>1</v>
      </c>
      <c r="D430">
        <v>1</v>
      </c>
      <c r="E430">
        <v>21</v>
      </c>
      <c r="F430" t="b">
        <v>0</v>
      </c>
      <c r="G430">
        <v>3</v>
      </c>
      <c r="H430">
        <v>1</v>
      </c>
      <c r="I430">
        <v>0.32</v>
      </c>
      <c r="J430">
        <v>0.28789999999999999</v>
      </c>
      <c r="K430">
        <v>0.49</v>
      </c>
      <c r="L430">
        <v>0.41789999999999999</v>
      </c>
      <c r="M430">
        <v>4</v>
      </c>
      <c r="N430">
        <v>55</v>
      </c>
      <c r="O430">
        <v>59</v>
      </c>
    </row>
    <row r="431" spans="1:15" x14ac:dyDescent="0.25">
      <c r="A431">
        <v>430</v>
      </c>
      <c r="B431" s="2">
        <v>40562</v>
      </c>
      <c r="C431">
        <v>1</v>
      </c>
      <c r="D431">
        <v>1</v>
      </c>
      <c r="E431">
        <v>22</v>
      </c>
      <c r="F431" t="b">
        <v>0</v>
      </c>
      <c r="G431">
        <v>3</v>
      </c>
      <c r="H431">
        <v>1</v>
      </c>
      <c r="I431">
        <v>0.3</v>
      </c>
      <c r="J431">
        <v>0.30299999999999999</v>
      </c>
      <c r="K431">
        <v>0.52</v>
      </c>
      <c r="L431">
        <v>0.16420000000000001</v>
      </c>
      <c r="M431">
        <v>6</v>
      </c>
      <c r="N431">
        <v>53</v>
      </c>
      <c r="O431">
        <v>59</v>
      </c>
    </row>
    <row r="432" spans="1:15" x14ac:dyDescent="0.25">
      <c r="A432">
        <v>431</v>
      </c>
      <c r="B432" s="2">
        <v>40562</v>
      </c>
      <c r="C432">
        <v>1</v>
      </c>
      <c r="D432">
        <v>1</v>
      </c>
      <c r="E432">
        <v>23</v>
      </c>
      <c r="F432" t="b">
        <v>0</v>
      </c>
      <c r="G432">
        <v>3</v>
      </c>
      <c r="H432">
        <v>1</v>
      </c>
      <c r="I432">
        <v>0.3</v>
      </c>
      <c r="J432">
        <v>0.2727</v>
      </c>
      <c r="K432">
        <v>0.52</v>
      </c>
      <c r="L432">
        <v>0.4627</v>
      </c>
      <c r="M432">
        <v>1</v>
      </c>
      <c r="N432">
        <v>27</v>
      </c>
      <c r="O432">
        <v>28</v>
      </c>
    </row>
    <row r="433" spans="1:15" x14ac:dyDescent="0.25">
      <c r="A433">
        <v>432</v>
      </c>
      <c r="B433" s="2">
        <v>40563</v>
      </c>
      <c r="C433">
        <v>1</v>
      </c>
      <c r="D433">
        <v>1</v>
      </c>
      <c r="E433">
        <v>0</v>
      </c>
      <c r="F433" t="b">
        <v>0</v>
      </c>
      <c r="G433">
        <v>4</v>
      </c>
      <c r="H433">
        <v>1</v>
      </c>
      <c r="I433">
        <v>0.26</v>
      </c>
      <c r="J433">
        <v>0.2273</v>
      </c>
      <c r="K433">
        <v>0.56000000000000005</v>
      </c>
      <c r="L433">
        <v>0.3881</v>
      </c>
      <c r="M433">
        <v>5</v>
      </c>
      <c r="N433">
        <v>8</v>
      </c>
      <c r="O433">
        <v>13</v>
      </c>
    </row>
    <row r="434" spans="1:15" x14ac:dyDescent="0.25">
      <c r="A434">
        <v>433</v>
      </c>
      <c r="B434" s="2">
        <v>40563</v>
      </c>
      <c r="C434">
        <v>1</v>
      </c>
      <c r="D434">
        <v>1</v>
      </c>
      <c r="E434">
        <v>1</v>
      </c>
      <c r="F434" t="b">
        <v>0</v>
      </c>
      <c r="G434">
        <v>4</v>
      </c>
      <c r="H434">
        <v>1</v>
      </c>
      <c r="I434">
        <v>0.26</v>
      </c>
      <c r="J434">
        <v>0.2727</v>
      </c>
      <c r="K434">
        <v>0.56000000000000005</v>
      </c>
      <c r="L434">
        <v>0.41635</v>
      </c>
      <c r="M434">
        <v>2</v>
      </c>
      <c r="N434">
        <v>3</v>
      </c>
      <c r="O434">
        <v>5</v>
      </c>
    </row>
    <row r="435" spans="1:15" x14ac:dyDescent="0.25">
      <c r="A435">
        <v>434</v>
      </c>
      <c r="B435" s="2">
        <v>40563</v>
      </c>
      <c r="C435">
        <v>1</v>
      </c>
      <c r="D435">
        <v>1</v>
      </c>
      <c r="E435">
        <v>2</v>
      </c>
      <c r="F435" t="b">
        <v>0</v>
      </c>
      <c r="G435">
        <v>4</v>
      </c>
      <c r="H435">
        <v>1</v>
      </c>
      <c r="I435">
        <v>0.26</v>
      </c>
      <c r="J435">
        <v>0.2727</v>
      </c>
      <c r="K435">
        <v>0.56000000000000005</v>
      </c>
      <c r="L435">
        <v>0.41635</v>
      </c>
      <c r="M435">
        <v>0</v>
      </c>
      <c r="N435">
        <v>2</v>
      </c>
      <c r="O435">
        <v>2</v>
      </c>
    </row>
    <row r="436" spans="1:15" x14ac:dyDescent="0.25">
      <c r="A436">
        <v>435</v>
      </c>
      <c r="B436" s="2">
        <v>40563</v>
      </c>
      <c r="C436">
        <v>1</v>
      </c>
      <c r="D436">
        <v>1</v>
      </c>
      <c r="E436">
        <v>3</v>
      </c>
      <c r="F436" t="b">
        <v>0</v>
      </c>
      <c r="G436">
        <v>4</v>
      </c>
      <c r="H436">
        <v>1</v>
      </c>
      <c r="I436">
        <v>0.26</v>
      </c>
      <c r="J436">
        <v>0.2576</v>
      </c>
      <c r="K436">
        <v>0.56000000000000005</v>
      </c>
      <c r="L436">
        <v>0.16420000000000001</v>
      </c>
      <c r="M436">
        <v>0</v>
      </c>
      <c r="N436">
        <v>1</v>
      </c>
      <c r="O436">
        <v>1</v>
      </c>
    </row>
    <row r="437" spans="1:15" x14ac:dyDescent="0.25">
      <c r="A437">
        <v>436</v>
      </c>
      <c r="B437" s="2">
        <v>40563</v>
      </c>
      <c r="C437">
        <v>1</v>
      </c>
      <c r="D437">
        <v>1</v>
      </c>
      <c r="E437">
        <v>4</v>
      </c>
      <c r="F437" t="b">
        <v>0</v>
      </c>
      <c r="G437">
        <v>4</v>
      </c>
      <c r="H437">
        <v>1</v>
      </c>
      <c r="I437">
        <v>0.26</v>
      </c>
      <c r="J437">
        <v>0.2576</v>
      </c>
      <c r="K437">
        <v>0.56000000000000005</v>
      </c>
      <c r="L437">
        <v>0.16420000000000001</v>
      </c>
      <c r="M437">
        <v>0</v>
      </c>
      <c r="N437">
        <v>1</v>
      </c>
      <c r="O437">
        <v>1</v>
      </c>
    </row>
    <row r="438" spans="1:15" x14ac:dyDescent="0.25">
      <c r="A438">
        <v>437</v>
      </c>
      <c r="B438" s="2">
        <v>40563</v>
      </c>
      <c r="C438">
        <v>1</v>
      </c>
      <c r="D438">
        <v>1</v>
      </c>
      <c r="E438">
        <v>5</v>
      </c>
      <c r="F438" t="b">
        <v>0</v>
      </c>
      <c r="G438">
        <v>4</v>
      </c>
      <c r="H438">
        <v>1</v>
      </c>
      <c r="I438">
        <v>0.24</v>
      </c>
      <c r="J438">
        <v>0.2273</v>
      </c>
      <c r="K438">
        <v>0.6</v>
      </c>
      <c r="L438">
        <v>0.22389999999999999</v>
      </c>
      <c r="M438">
        <v>0</v>
      </c>
      <c r="N438">
        <v>6</v>
      </c>
      <c r="O438">
        <v>6</v>
      </c>
    </row>
    <row r="439" spans="1:15" x14ac:dyDescent="0.25">
      <c r="A439">
        <v>438</v>
      </c>
      <c r="B439" s="2">
        <v>40563</v>
      </c>
      <c r="C439">
        <v>1</v>
      </c>
      <c r="D439">
        <v>1</v>
      </c>
      <c r="E439">
        <v>6</v>
      </c>
      <c r="F439" t="b">
        <v>0</v>
      </c>
      <c r="G439">
        <v>4</v>
      </c>
      <c r="H439">
        <v>1</v>
      </c>
      <c r="I439">
        <v>0.22</v>
      </c>
      <c r="J439">
        <v>0.21210000000000001</v>
      </c>
      <c r="K439">
        <v>0.6</v>
      </c>
      <c r="L439">
        <v>0.22389999999999999</v>
      </c>
      <c r="M439">
        <v>0</v>
      </c>
      <c r="N439">
        <v>35</v>
      </c>
      <c r="O439">
        <v>35</v>
      </c>
    </row>
    <row r="440" spans="1:15" x14ac:dyDescent="0.25">
      <c r="A440">
        <v>439</v>
      </c>
      <c r="B440" s="2">
        <v>40563</v>
      </c>
      <c r="C440">
        <v>1</v>
      </c>
      <c r="D440">
        <v>1</v>
      </c>
      <c r="E440">
        <v>7</v>
      </c>
      <c r="F440" t="b">
        <v>0</v>
      </c>
      <c r="G440">
        <v>4</v>
      </c>
      <c r="H440">
        <v>1</v>
      </c>
      <c r="I440">
        <v>0.22</v>
      </c>
      <c r="J440">
        <v>0.21210000000000001</v>
      </c>
      <c r="K440">
        <v>0.55000000000000004</v>
      </c>
      <c r="L440">
        <v>0.22389999999999999</v>
      </c>
      <c r="M440">
        <v>1</v>
      </c>
      <c r="N440">
        <v>100</v>
      </c>
      <c r="O440">
        <v>101</v>
      </c>
    </row>
    <row r="441" spans="1:15" x14ac:dyDescent="0.25">
      <c r="A441">
        <v>440</v>
      </c>
      <c r="B441" s="2">
        <v>40563</v>
      </c>
      <c r="C441">
        <v>1</v>
      </c>
      <c r="D441">
        <v>1</v>
      </c>
      <c r="E441">
        <v>8</v>
      </c>
      <c r="F441" t="b">
        <v>0</v>
      </c>
      <c r="G441">
        <v>4</v>
      </c>
      <c r="H441">
        <v>1</v>
      </c>
      <c r="I441">
        <v>0.22</v>
      </c>
      <c r="J441">
        <v>0.21210000000000001</v>
      </c>
      <c r="K441">
        <v>0.55000000000000004</v>
      </c>
      <c r="L441">
        <v>0.28360000000000002</v>
      </c>
      <c r="M441">
        <v>2</v>
      </c>
      <c r="N441">
        <v>247</v>
      </c>
      <c r="O441">
        <v>249</v>
      </c>
    </row>
    <row r="442" spans="1:15" x14ac:dyDescent="0.25">
      <c r="A442">
        <v>441</v>
      </c>
      <c r="B442" s="2">
        <v>40563</v>
      </c>
      <c r="C442">
        <v>1</v>
      </c>
      <c r="D442">
        <v>1</v>
      </c>
      <c r="E442">
        <v>9</v>
      </c>
      <c r="F442" t="b">
        <v>0</v>
      </c>
      <c r="G442">
        <v>4</v>
      </c>
      <c r="H442">
        <v>2</v>
      </c>
      <c r="I442">
        <v>0.24</v>
      </c>
      <c r="J442">
        <v>0.2273</v>
      </c>
      <c r="K442">
        <v>0.52</v>
      </c>
      <c r="L442">
        <v>0.22389999999999999</v>
      </c>
      <c r="M442">
        <v>3</v>
      </c>
      <c r="N442">
        <v>140</v>
      </c>
      <c r="O442">
        <v>143</v>
      </c>
    </row>
    <row r="443" spans="1:15" x14ac:dyDescent="0.25">
      <c r="A443">
        <v>442</v>
      </c>
      <c r="B443" s="2">
        <v>40563</v>
      </c>
      <c r="C443">
        <v>1</v>
      </c>
      <c r="D443">
        <v>1</v>
      </c>
      <c r="E443">
        <v>10</v>
      </c>
      <c r="F443" t="b">
        <v>0</v>
      </c>
      <c r="G443">
        <v>4</v>
      </c>
      <c r="H443">
        <v>1</v>
      </c>
      <c r="I443">
        <v>0.26</v>
      </c>
      <c r="J443">
        <v>0.2273</v>
      </c>
      <c r="K443">
        <v>0.48</v>
      </c>
      <c r="L443">
        <v>0.29849999999999999</v>
      </c>
      <c r="M443">
        <v>1</v>
      </c>
      <c r="N443">
        <v>56</v>
      </c>
      <c r="O443">
        <v>57</v>
      </c>
    </row>
    <row r="444" spans="1:15" x14ac:dyDescent="0.25">
      <c r="A444">
        <v>443</v>
      </c>
      <c r="B444" s="2">
        <v>40563</v>
      </c>
      <c r="C444">
        <v>1</v>
      </c>
      <c r="D444">
        <v>1</v>
      </c>
      <c r="E444">
        <v>11</v>
      </c>
      <c r="F444" t="b">
        <v>0</v>
      </c>
      <c r="G444">
        <v>4</v>
      </c>
      <c r="H444">
        <v>2</v>
      </c>
      <c r="I444">
        <v>0.28000000000000003</v>
      </c>
      <c r="J444">
        <v>0.2727</v>
      </c>
      <c r="K444">
        <v>0.45</v>
      </c>
      <c r="L444">
        <v>0.16420000000000001</v>
      </c>
      <c r="M444">
        <v>5</v>
      </c>
      <c r="N444">
        <v>63</v>
      </c>
      <c r="O444">
        <v>68</v>
      </c>
    </row>
    <row r="445" spans="1:15" x14ac:dyDescent="0.25">
      <c r="A445">
        <v>444</v>
      </c>
      <c r="B445" s="2">
        <v>40563</v>
      </c>
      <c r="C445">
        <v>1</v>
      </c>
      <c r="D445">
        <v>1</v>
      </c>
      <c r="E445">
        <v>12</v>
      </c>
      <c r="F445" t="b">
        <v>0</v>
      </c>
      <c r="G445">
        <v>4</v>
      </c>
      <c r="H445">
        <v>2</v>
      </c>
      <c r="I445">
        <v>0.3</v>
      </c>
      <c r="J445">
        <v>0.33329999999999999</v>
      </c>
      <c r="K445">
        <v>0.42</v>
      </c>
      <c r="L445">
        <v>0.37664999999999998</v>
      </c>
      <c r="M445">
        <v>7</v>
      </c>
      <c r="N445">
        <v>77</v>
      </c>
      <c r="O445">
        <v>84</v>
      </c>
    </row>
    <row r="446" spans="1:15" x14ac:dyDescent="0.25">
      <c r="A446">
        <v>445</v>
      </c>
      <c r="B446" s="2">
        <v>40563</v>
      </c>
      <c r="C446">
        <v>1</v>
      </c>
      <c r="D446">
        <v>1</v>
      </c>
      <c r="E446">
        <v>13</v>
      </c>
      <c r="F446" t="b">
        <v>0</v>
      </c>
      <c r="G446">
        <v>4</v>
      </c>
      <c r="H446">
        <v>2</v>
      </c>
      <c r="I446">
        <v>0.28000000000000003</v>
      </c>
      <c r="J446">
        <v>0.28789999999999999</v>
      </c>
      <c r="K446">
        <v>0.45</v>
      </c>
      <c r="L446">
        <v>0.1045</v>
      </c>
      <c r="M446">
        <v>12</v>
      </c>
      <c r="N446">
        <v>86</v>
      </c>
      <c r="O446">
        <v>98</v>
      </c>
    </row>
    <row r="447" spans="1:15" x14ac:dyDescent="0.25">
      <c r="A447">
        <v>446</v>
      </c>
      <c r="B447" s="2">
        <v>40563</v>
      </c>
      <c r="C447">
        <v>1</v>
      </c>
      <c r="D447">
        <v>1</v>
      </c>
      <c r="E447">
        <v>14</v>
      </c>
      <c r="F447" t="b">
        <v>0</v>
      </c>
      <c r="G447">
        <v>4</v>
      </c>
      <c r="H447">
        <v>2</v>
      </c>
      <c r="I447">
        <v>0.3</v>
      </c>
      <c r="J447">
        <v>0.30299999999999999</v>
      </c>
      <c r="K447">
        <v>0.45</v>
      </c>
      <c r="L447">
        <v>0.1343</v>
      </c>
      <c r="M447">
        <v>6</v>
      </c>
      <c r="N447">
        <v>75</v>
      </c>
      <c r="O447">
        <v>81</v>
      </c>
    </row>
    <row r="448" spans="1:15" x14ac:dyDescent="0.25">
      <c r="A448">
        <v>447</v>
      </c>
      <c r="B448" s="2">
        <v>40563</v>
      </c>
      <c r="C448">
        <v>1</v>
      </c>
      <c r="D448">
        <v>1</v>
      </c>
      <c r="E448">
        <v>15</v>
      </c>
      <c r="F448" t="b">
        <v>0</v>
      </c>
      <c r="G448">
        <v>4</v>
      </c>
      <c r="H448">
        <v>2</v>
      </c>
      <c r="I448">
        <v>0.32</v>
      </c>
      <c r="J448">
        <v>0.31819999999999998</v>
      </c>
      <c r="K448">
        <v>0.45</v>
      </c>
      <c r="L448">
        <v>0.19400000000000001</v>
      </c>
      <c r="M448">
        <v>8</v>
      </c>
      <c r="N448">
        <v>62</v>
      </c>
      <c r="O448">
        <v>70</v>
      </c>
    </row>
    <row r="449" spans="1:15" x14ac:dyDescent="0.25">
      <c r="A449">
        <v>448</v>
      </c>
      <c r="B449" s="2">
        <v>40563</v>
      </c>
      <c r="C449">
        <v>1</v>
      </c>
      <c r="D449">
        <v>1</v>
      </c>
      <c r="E449">
        <v>16</v>
      </c>
      <c r="F449" t="b">
        <v>0</v>
      </c>
      <c r="G449">
        <v>4</v>
      </c>
      <c r="H449">
        <v>2</v>
      </c>
      <c r="I449">
        <v>0.3</v>
      </c>
      <c r="J449">
        <v>0.30299999999999999</v>
      </c>
      <c r="K449">
        <v>0.49</v>
      </c>
      <c r="L449">
        <v>0.1343</v>
      </c>
      <c r="M449">
        <v>8</v>
      </c>
      <c r="N449">
        <v>83</v>
      </c>
      <c r="O449">
        <v>91</v>
      </c>
    </row>
    <row r="450" spans="1:15" x14ac:dyDescent="0.25">
      <c r="A450">
        <v>449</v>
      </c>
      <c r="B450" s="2">
        <v>40563</v>
      </c>
      <c r="C450">
        <v>1</v>
      </c>
      <c r="D450">
        <v>1</v>
      </c>
      <c r="E450">
        <v>17</v>
      </c>
      <c r="F450" t="b">
        <v>0</v>
      </c>
      <c r="G450">
        <v>4</v>
      </c>
      <c r="H450">
        <v>2</v>
      </c>
      <c r="I450">
        <v>0.3</v>
      </c>
      <c r="J450">
        <v>0.31819999999999998</v>
      </c>
      <c r="K450">
        <v>0.49</v>
      </c>
      <c r="L450">
        <v>0.1045</v>
      </c>
      <c r="M450">
        <v>8</v>
      </c>
      <c r="N450">
        <v>207</v>
      </c>
      <c r="O450">
        <v>215</v>
      </c>
    </row>
    <row r="451" spans="1:15" x14ac:dyDescent="0.25">
      <c r="A451">
        <v>450</v>
      </c>
      <c r="B451" s="2">
        <v>40563</v>
      </c>
      <c r="C451">
        <v>1</v>
      </c>
      <c r="D451">
        <v>1</v>
      </c>
      <c r="E451">
        <v>18</v>
      </c>
      <c r="F451" t="b">
        <v>0</v>
      </c>
      <c r="G451">
        <v>4</v>
      </c>
      <c r="H451">
        <v>2</v>
      </c>
      <c r="I451">
        <v>0.26</v>
      </c>
      <c r="J451">
        <v>0.2576</v>
      </c>
      <c r="K451">
        <v>0.56000000000000005</v>
      </c>
      <c r="L451">
        <v>0.19400000000000001</v>
      </c>
      <c r="M451">
        <v>1</v>
      </c>
      <c r="N451">
        <v>184</v>
      </c>
      <c r="O451">
        <v>185</v>
      </c>
    </row>
    <row r="452" spans="1:15" x14ac:dyDescent="0.25">
      <c r="A452">
        <v>451</v>
      </c>
      <c r="B452" s="2">
        <v>40563</v>
      </c>
      <c r="C452">
        <v>1</v>
      </c>
      <c r="D452">
        <v>1</v>
      </c>
      <c r="E452">
        <v>19</v>
      </c>
      <c r="F452" t="b">
        <v>0</v>
      </c>
      <c r="G452">
        <v>4</v>
      </c>
      <c r="H452">
        <v>1</v>
      </c>
      <c r="I452">
        <v>0.26</v>
      </c>
      <c r="J452">
        <v>0.2273</v>
      </c>
      <c r="K452">
        <v>0.56000000000000005</v>
      </c>
      <c r="L452">
        <v>0.32840000000000003</v>
      </c>
      <c r="M452">
        <v>6</v>
      </c>
      <c r="N452">
        <v>146</v>
      </c>
      <c r="O452">
        <v>152</v>
      </c>
    </row>
    <row r="453" spans="1:15" x14ac:dyDescent="0.25">
      <c r="A453">
        <v>452</v>
      </c>
      <c r="B453" s="2">
        <v>40563</v>
      </c>
      <c r="C453">
        <v>1</v>
      </c>
      <c r="D453">
        <v>1</v>
      </c>
      <c r="E453">
        <v>20</v>
      </c>
      <c r="F453" t="b">
        <v>0</v>
      </c>
      <c r="G453">
        <v>4</v>
      </c>
      <c r="H453">
        <v>2</v>
      </c>
      <c r="I453">
        <v>0.26</v>
      </c>
      <c r="J453">
        <v>0.2424</v>
      </c>
      <c r="K453">
        <v>0.6</v>
      </c>
      <c r="L453">
        <v>0.28360000000000002</v>
      </c>
      <c r="M453">
        <v>2</v>
      </c>
      <c r="N453">
        <v>124</v>
      </c>
      <c r="O453">
        <v>126</v>
      </c>
    </row>
    <row r="454" spans="1:15" x14ac:dyDescent="0.25">
      <c r="A454">
        <v>453</v>
      </c>
      <c r="B454" s="2">
        <v>40563</v>
      </c>
      <c r="C454">
        <v>1</v>
      </c>
      <c r="D454">
        <v>1</v>
      </c>
      <c r="E454">
        <v>21</v>
      </c>
      <c r="F454" t="b">
        <v>0</v>
      </c>
      <c r="G454">
        <v>4</v>
      </c>
      <c r="H454">
        <v>2</v>
      </c>
      <c r="I454">
        <v>0.24</v>
      </c>
      <c r="J454">
        <v>0.2273</v>
      </c>
      <c r="K454">
        <v>0.6</v>
      </c>
      <c r="L454">
        <v>0.25369999999999998</v>
      </c>
      <c r="M454">
        <v>3</v>
      </c>
      <c r="N454">
        <v>54</v>
      </c>
      <c r="O454">
        <v>57</v>
      </c>
    </row>
    <row r="455" spans="1:15" x14ac:dyDescent="0.25">
      <c r="A455">
        <v>454</v>
      </c>
      <c r="B455" s="2">
        <v>40563</v>
      </c>
      <c r="C455">
        <v>1</v>
      </c>
      <c r="D455">
        <v>1</v>
      </c>
      <c r="E455">
        <v>22</v>
      </c>
      <c r="F455" t="b">
        <v>0</v>
      </c>
      <c r="G455">
        <v>4</v>
      </c>
      <c r="H455">
        <v>2</v>
      </c>
      <c r="I455">
        <v>0.24</v>
      </c>
      <c r="J455">
        <v>0.21210000000000001</v>
      </c>
      <c r="K455">
        <v>0.65</v>
      </c>
      <c r="L455">
        <v>0.28360000000000002</v>
      </c>
      <c r="M455">
        <v>0</v>
      </c>
      <c r="N455">
        <v>56</v>
      </c>
      <c r="O455">
        <v>56</v>
      </c>
    </row>
    <row r="456" spans="1:15" x14ac:dyDescent="0.25">
      <c r="A456">
        <v>455</v>
      </c>
      <c r="B456" s="2">
        <v>40563</v>
      </c>
      <c r="C456">
        <v>1</v>
      </c>
      <c r="D456">
        <v>1</v>
      </c>
      <c r="E456">
        <v>23</v>
      </c>
      <c r="F456" t="b">
        <v>0</v>
      </c>
      <c r="G456">
        <v>4</v>
      </c>
      <c r="H456">
        <v>2</v>
      </c>
      <c r="I456">
        <v>0.24</v>
      </c>
      <c r="J456">
        <v>0.21210000000000001</v>
      </c>
      <c r="K456">
        <v>0.65</v>
      </c>
      <c r="L456">
        <v>0.32840000000000003</v>
      </c>
      <c r="M456">
        <v>3</v>
      </c>
      <c r="N456">
        <v>28</v>
      </c>
      <c r="O456">
        <v>31</v>
      </c>
    </row>
    <row r="457" spans="1:15" x14ac:dyDescent="0.25">
      <c r="A457">
        <v>456</v>
      </c>
      <c r="B457" s="2">
        <v>40564</v>
      </c>
      <c r="C457">
        <v>1</v>
      </c>
      <c r="D457">
        <v>1</v>
      </c>
      <c r="E457">
        <v>0</v>
      </c>
      <c r="F457" t="b">
        <v>0</v>
      </c>
      <c r="G457">
        <v>5</v>
      </c>
      <c r="H457">
        <v>2</v>
      </c>
      <c r="I457">
        <v>0.24</v>
      </c>
      <c r="J457">
        <v>0.2273</v>
      </c>
      <c r="K457">
        <v>0.7</v>
      </c>
      <c r="L457">
        <v>0.25369999999999998</v>
      </c>
      <c r="M457">
        <v>1</v>
      </c>
      <c r="N457">
        <v>20</v>
      </c>
      <c r="O457">
        <v>21</v>
      </c>
    </row>
    <row r="458" spans="1:15" x14ac:dyDescent="0.25">
      <c r="A458">
        <v>457</v>
      </c>
      <c r="B458" s="2">
        <v>40564</v>
      </c>
      <c r="C458">
        <v>1</v>
      </c>
      <c r="D458">
        <v>1</v>
      </c>
      <c r="E458">
        <v>1</v>
      </c>
      <c r="F458" t="b">
        <v>0</v>
      </c>
      <c r="G458">
        <v>5</v>
      </c>
      <c r="H458">
        <v>2</v>
      </c>
      <c r="I458">
        <v>0.24</v>
      </c>
      <c r="J458">
        <v>0.2273</v>
      </c>
      <c r="K458">
        <v>0.7</v>
      </c>
      <c r="L458">
        <v>0.25369999999999998</v>
      </c>
      <c r="M458">
        <v>0</v>
      </c>
      <c r="N458">
        <v>6</v>
      </c>
      <c r="O458">
        <v>6</v>
      </c>
    </row>
    <row r="459" spans="1:15" x14ac:dyDescent="0.25">
      <c r="A459">
        <v>458</v>
      </c>
      <c r="B459" s="2">
        <v>40564</v>
      </c>
      <c r="C459">
        <v>1</v>
      </c>
      <c r="D459">
        <v>1</v>
      </c>
      <c r="E459">
        <v>2</v>
      </c>
      <c r="F459" t="b">
        <v>0</v>
      </c>
      <c r="G459">
        <v>5</v>
      </c>
      <c r="H459">
        <v>3</v>
      </c>
      <c r="I459">
        <v>0.24</v>
      </c>
      <c r="J459">
        <v>0.2424</v>
      </c>
      <c r="K459">
        <v>0.75</v>
      </c>
      <c r="L459">
        <v>0.16420000000000001</v>
      </c>
      <c r="M459">
        <v>0</v>
      </c>
      <c r="N459">
        <v>2</v>
      </c>
      <c r="O459">
        <v>2</v>
      </c>
    </row>
    <row r="460" spans="1:15" x14ac:dyDescent="0.25">
      <c r="A460">
        <v>459</v>
      </c>
      <c r="B460" s="2">
        <v>40564</v>
      </c>
      <c r="C460">
        <v>1</v>
      </c>
      <c r="D460">
        <v>1</v>
      </c>
      <c r="E460">
        <v>3</v>
      </c>
      <c r="F460" t="b">
        <v>0</v>
      </c>
      <c r="G460">
        <v>5</v>
      </c>
      <c r="H460">
        <v>3</v>
      </c>
      <c r="I460">
        <v>0.22</v>
      </c>
      <c r="J460">
        <v>0.21210000000000001</v>
      </c>
      <c r="K460">
        <v>0.8</v>
      </c>
      <c r="L460">
        <v>0.29849999999999999</v>
      </c>
      <c r="M460">
        <v>0</v>
      </c>
      <c r="N460">
        <v>1</v>
      </c>
      <c r="O460">
        <v>1</v>
      </c>
    </row>
    <row r="461" spans="1:15" x14ac:dyDescent="0.25">
      <c r="A461">
        <v>460</v>
      </c>
      <c r="B461" s="2">
        <v>40564</v>
      </c>
      <c r="C461">
        <v>1</v>
      </c>
      <c r="D461">
        <v>1</v>
      </c>
      <c r="E461">
        <v>4</v>
      </c>
      <c r="F461" t="b">
        <v>0</v>
      </c>
      <c r="G461">
        <v>5</v>
      </c>
      <c r="H461">
        <v>2</v>
      </c>
      <c r="I461">
        <v>0.22</v>
      </c>
      <c r="J461">
        <v>0.2576</v>
      </c>
      <c r="K461">
        <v>0.87</v>
      </c>
      <c r="L461">
        <v>8.9599999999999999E-2</v>
      </c>
      <c r="M461">
        <v>0</v>
      </c>
      <c r="N461">
        <v>1</v>
      </c>
      <c r="O461">
        <v>1</v>
      </c>
    </row>
    <row r="462" spans="1:15" x14ac:dyDescent="0.25">
      <c r="A462">
        <v>461</v>
      </c>
      <c r="B462" s="2">
        <v>40564</v>
      </c>
      <c r="C462">
        <v>1</v>
      </c>
      <c r="D462">
        <v>1</v>
      </c>
      <c r="E462">
        <v>5</v>
      </c>
      <c r="F462" t="b">
        <v>0</v>
      </c>
      <c r="G462">
        <v>5</v>
      </c>
      <c r="H462">
        <v>1</v>
      </c>
      <c r="I462">
        <v>0.24</v>
      </c>
      <c r="J462">
        <v>0.19700000000000001</v>
      </c>
      <c r="K462">
        <v>0.6</v>
      </c>
      <c r="L462">
        <v>0.41789999999999999</v>
      </c>
      <c r="M462">
        <v>1</v>
      </c>
      <c r="N462">
        <v>4</v>
      </c>
      <c r="O462">
        <v>5</v>
      </c>
    </row>
    <row r="463" spans="1:15" x14ac:dyDescent="0.25">
      <c r="A463">
        <v>462</v>
      </c>
      <c r="B463" s="2">
        <v>40564</v>
      </c>
      <c r="C463">
        <v>1</v>
      </c>
      <c r="D463">
        <v>1</v>
      </c>
      <c r="E463">
        <v>6</v>
      </c>
      <c r="F463" t="b">
        <v>0</v>
      </c>
      <c r="G463">
        <v>5</v>
      </c>
      <c r="H463">
        <v>1</v>
      </c>
      <c r="I463">
        <v>0.22</v>
      </c>
      <c r="J463">
        <v>0.21210000000000001</v>
      </c>
      <c r="K463">
        <v>0.55000000000000004</v>
      </c>
      <c r="L463">
        <v>0.25369999999999998</v>
      </c>
      <c r="M463">
        <v>0</v>
      </c>
      <c r="N463">
        <v>27</v>
      </c>
      <c r="O463">
        <v>27</v>
      </c>
    </row>
    <row r="464" spans="1:15" x14ac:dyDescent="0.25">
      <c r="A464">
        <v>463</v>
      </c>
      <c r="B464" s="2">
        <v>40564</v>
      </c>
      <c r="C464">
        <v>1</v>
      </c>
      <c r="D464">
        <v>1</v>
      </c>
      <c r="E464">
        <v>7</v>
      </c>
      <c r="F464" t="b">
        <v>0</v>
      </c>
      <c r="G464">
        <v>5</v>
      </c>
      <c r="H464">
        <v>1</v>
      </c>
      <c r="I464">
        <v>0.2</v>
      </c>
      <c r="J464">
        <v>0.18179999999999999</v>
      </c>
      <c r="K464">
        <v>0.51</v>
      </c>
      <c r="L464">
        <v>0.28360000000000002</v>
      </c>
      <c r="M464">
        <v>2</v>
      </c>
      <c r="N464">
        <v>66</v>
      </c>
      <c r="O464">
        <v>68</v>
      </c>
    </row>
    <row r="465" spans="1:15" x14ac:dyDescent="0.25">
      <c r="A465">
        <v>464</v>
      </c>
      <c r="B465" s="2">
        <v>40564</v>
      </c>
      <c r="C465">
        <v>1</v>
      </c>
      <c r="D465">
        <v>1</v>
      </c>
      <c r="E465">
        <v>8</v>
      </c>
      <c r="F465" t="b">
        <v>0</v>
      </c>
      <c r="G465">
        <v>5</v>
      </c>
      <c r="H465">
        <v>1</v>
      </c>
      <c r="I465">
        <v>0.2</v>
      </c>
      <c r="J465">
        <v>0.18179999999999999</v>
      </c>
      <c r="K465">
        <v>0.47</v>
      </c>
      <c r="L465">
        <v>0.32840000000000003</v>
      </c>
      <c r="M465">
        <v>7</v>
      </c>
      <c r="N465">
        <v>210</v>
      </c>
      <c r="O465">
        <v>217</v>
      </c>
    </row>
    <row r="466" spans="1:15" x14ac:dyDescent="0.25">
      <c r="A466">
        <v>465</v>
      </c>
      <c r="B466" s="2">
        <v>40564</v>
      </c>
      <c r="C466">
        <v>1</v>
      </c>
      <c r="D466">
        <v>1</v>
      </c>
      <c r="E466">
        <v>9</v>
      </c>
      <c r="F466" t="b">
        <v>0</v>
      </c>
      <c r="G466">
        <v>5</v>
      </c>
      <c r="H466">
        <v>1</v>
      </c>
      <c r="I466">
        <v>0.2</v>
      </c>
      <c r="J466">
        <v>0.18179999999999999</v>
      </c>
      <c r="K466">
        <v>0.51</v>
      </c>
      <c r="L466">
        <v>0.35820000000000002</v>
      </c>
      <c r="M466">
        <v>7</v>
      </c>
      <c r="N466">
        <v>159</v>
      </c>
      <c r="O466">
        <v>166</v>
      </c>
    </row>
    <row r="467" spans="1:15" x14ac:dyDescent="0.25">
      <c r="A467">
        <v>466</v>
      </c>
      <c r="B467" s="2">
        <v>40564</v>
      </c>
      <c r="C467">
        <v>1</v>
      </c>
      <c r="D467">
        <v>1</v>
      </c>
      <c r="E467">
        <v>10</v>
      </c>
      <c r="F467" t="b">
        <v>0</v>
      </c>
      <c r="G467">
        <v>5</v>
      </c>
      <c r="H467">
        <v>1</v>
      </c>
      <c r="I467">
        <v>0.2</v>
      </c>
      <c r="J467">
        <v>0.16669999999999999</v>
      </c>
      <c r="K467">
        <v>0.47</v>
      </c>
      <c r="L467">
        <v>0.4627</v>
      </c>
      <c r="M467">
        <v>6</v>
      </c>
      <c r="N467">
        <v>57</v>
      </c>
      <c r="O467">
        <v>63</v>
      </c>
    </row>
    <row r="468" spans="1:15" x14ac:dyDescent="0.25">
      <c r="A468">
        <v>467</v>
      </c>
      <c r="B468" s="2">
        <v>40564</v>
      </c>
      <c r="C468">
        <v>1</v>
      </c>
      <c r="D468">
        <v>1</v>
      </c>
      <c r="E468">
        <v>11</v>
      </c>
      <c r="F468" t="b">
        <v>0</v>
      </c>
      <c r="G468">
        <v>5</v>
      </c>
      <c r="H468">
        <v>1</v>
      </c>
      <c r="I468">
        <v>0.22</v>
      </c>
      <c r="J468">
        <v>0.18179999999999999</v>
      </c>
      <c r="K468">
        <v>0.41</v>
      </c>
      <c r="L468">
        <v>0.4627</v>
      </c>
      <c r="M468">
        <v>6</v>
      </c>
      <c r="N468">
        <v>53</v>
      </c>
      <c r="O468">
        <v>59</v>
      </c>
    </row>
    <row r="469" spans="1:15" x14ac:dyDescent="0.25">
      <c r="A469">
        <v>468</v>
      </c>
      <c r="B469" s="2">
        <v>40564</v>
      </c>
      <c r="C469">
        <v>1</v>
      </c>
      <c r="D469">
        <v>1</v>
      </c>
      <c r="E469">
        <v>12</v>
      </c>
      <c r="F469" t="b">
        <v>0</v>
      </c>
      <c r="G469">
        <v>5</v>
      </c>
      <c r="H469">
        <v>1</v>
      </c>
      <c r="I469">
        <v>0.22</v>
      </c>
      <c r="J469">
        <v>0.18179999999999999</v>
      </c>
      <c r="K469">
        <v>0.27</v>
      </c>
      <c r="L469">
        <v>0.58209999999999995</v>
      </c>
      <c r="M469">
        <v>11</v>
      </c>
      <c r="N469">
        <v>67</v>
      </c>
      <c r="O469">
        <v>78</v>
      </c>
    </row>
    <row r="470" spans="1:15" x14ac:dyDescent="0.25">
      <c r="A470">
        <v>469</v>
      </c>
      <c r="B470" s="2">
        <v>40564</v>
      </c>
      <c r="C470">
        <v>1</v>
      </c>
      <c r="D470">
        <v>1</v>
      </c>
      <c r="E470">
        <v>13</v>
      </c>
      <c r="F470" t="b">
        <v>0</v>
      </c>
      <c r="G470">
        <v>5</v>
      </c>
      <c r="H470">
        <v>1</v>
      </c>
      <c r="I470">
        <v>0.2</v>
      </c>
      <c r="J470">
        <v>0.1515</v>
      </c>
      <c r="K470">
        <v>0.21</v>
      </c>
      <c r="L470">
        <v>0.58209999999999995</v>
      </c>
      <c r="M470">
        <v>8</v>
      </c>
      <c r="N470">
        <v>65</v>
      </c>
      <c r="O470">
        <v>73</v>
      </c>
    </row>
    <row r="471" spans="1:15" x14ac:dyDescent="0.25">
      <c r="A471">
        <v>470</v>
      </c>
      <c r="B471" s="2">
        <v>40564</v>
      </c>
      <c r="C471">
        <v>1</v>
      </c>
      <c r="D471">
        <v>1</v>
      </c>
      <c r="E471">
        <v>14</v>
      </c>
      <c r="F471" t="b">
        <v>0</v>
      </c>
      <c r="G471">
        <v>5</v>
      </c>
      <c r="H471">
        <v>1</v>
      </c>
      <c r="I471">
        <v>0.2</v>
      </c>
      <c r="J471">
        <v>0.1515</v>
      </c>
      <c r="K471">
        <v>0.25</v>
      </c>
      <c r="L471">
        <v>0.52239999999999998</v>
      </c>
      <c r="M471">
        <v>6</v>
      </c>
      <c r="N471">
        <v>56</v>
      </c>
      <c r="O471">
        <v>62</v>
      </c>
    </row>
    <row r="472" spans="1:15" x14ac:dyDescent="0.25">
      <c r="A472">
        <v>471</v>
      </c>
      <c r="B472" s="2">
        <v>40564</v>
      </c>
      <c r="C472">
        <v>1</v>
      </c>
      <c r="D472">
        <v>1</v>
      </c>
      <c r="E472">
        <v>15</v>
      </c>
      <c r="F472" t="b">
        <v>0</v>
      </c>
      <c r="G472">
        <v>5</v>
      </c>
      <c r="H472">
        <v>1</v>
      </c>
      <c r="I472">
        <v>0.16</v>
      </c>
      <c r="J472">
        <v>0.1212</v>
      </c>
      <c r="K472">
        <v>0.26</v>
      </c>
      <c r="L472">
        <v>0.44779999999999998</v>
      </c>
      <c r="M472">
        <v>4</v>
      </c>
      <c r="N472">
        <v>61</v>
      </c>
      <c r="O472">
        <v>65</v>
      </c>
    </row>
    <row r="473" spans="1:15" x14ac:dyDescent="0.25">
      <c r="A473">
        <v>472</v>
      </c>
      <c r="B473" s="2">
        <v>40564</v>
      </c>
      <c r="C473">
        <v>1</v>
      </c>
      <c r="D473">
        <v>1</v>
      </c>
      <c r="E473">
        <v>16</v>
      </c>
      <c r="F473" t="b">
        <v>0</v>
      </c>
      <c r="G473">
        <v>5</v>
      </c>
      <c r="H473">
        <v>1</v>
      </c>
      <c r="I473">
        <v>0.16</v>
      </c>
      <c r="J473">
        <v>0.13639999999999999</v>
      </c>
      <c r="K473">
        <v>0.26</v>
      </c>
      <c r="L473">
        <v>0.35820000000000002</v>
      </c>
      <c r="M473">
        <v>0</v>
      </c>
      <c r="N473">
        <v>97</v>
      </c>
      <c r="O473">
        <v>97</v>
      </c>
    </row>
    <row r="474" spans="1:15" x14ac:dyDescent="0.25">
      <c r="A474">
        <v>473</v>
      </c>
      <c r="B474" s="2">
        <v>40564</v>
      </c>
      <c r="C474">
        <v>1</v>
      </c>
      <c r="D474">
        <v>1</v>
      </c>
      <c r="E474">
        <v>17</v>
      </c>
      <c r="F474" t="b">
        <v>0</v>
      </c>
      <c r="G474">
        <v>5</v>
      </c>
      <c r="H474">
        <v>1</v>
      </c>
      <c r="I474">
        <v>0.14000000000000001</v>
      </c>
      <c r="J474">
        <v>0.1212</v>
      </c>
      <c r="K474">
        <v>0.28000000000000003</v>
      </c>
      <c r="L474">
        <v>0.35820000000000002</v>
      </c>
      <c r="M474">
        <v>10</v>
      </c>
      <c r="N474">
        <v>151</v>
      </c>
      <c r="O474">
        <v>161</v>
      </c>
    </row>
    <row r="475" spans="1:15" x14ac:dyDescent="0.25">
      <c r="A475">
        <v>474</v>
      </c>
      <c r="B475" s="2">
        <v>40564</v>
      </c>
      <c r="C475">
        <v>1</v>
      </c>
      <c r="D475">
        <v>1</v>
      </c>
      <c r="E475">
        <v>18</v>
      </c>
      <c r="F475" t="b">
        <v>0</v>
      </c>
      <c r="G475">
        <v>5</v>
      </c>
      <c r="H475">
        <v>1</v>
      </c>
      <c r="I475">
        <v>0.12</v>
      </c>
      <c r="J475">
        <v>0.1212</v>
      </c>
      <c r="K475">
        <v>0.3</v>
      </c>
      <c r="L475">
        <v>0.25369999999999998</v>
      </c>
      <c r="M475">
        <v>1</v>
      </c>
      <c r="N475">
        <v>119</v>
      </c>
      <c r="O475">
        <v>120</v>
      </c>
    </row>
    <row r="476" spans="1:15" x14ac:dyDescent="0.25">
      <c r="A476">
        <v>475</v>
      </c>
      <c r="B476" s="2">
        <v>40564</v>
      </c>
      <c r="C476">
        <v>1</v>
      </c>
      <c r="D476">
        <v>1</v>
      </c>
      <c r="E476">
        <v>19</v>
      </c>
      <c r="F476" t="b">
        <v>0</v>
      </c>
      <c r="G476">
        <v>5</v>
      </c>
      <c r="H476">
        <v>1</v>
      </c>
      <c r="I476">
        <v>0.12</v>
      </c>
      <c r="J476">
        <v>0.1061</v>
      </c>
      <c r="K476">
        <v>0.3</v>
      </c>
      <c r="L476">
        <v>0.32840000000000003</v>
      </c>
      <c r="M476">
        <v>3</v>
      </c>
      <c r="N476">
        <v>93</v>
      </c>
      <c r="O476">
        <v>96</v>
      </c>
    </row>
    <row r="477" spans="1:15" x14ac:dyDescent="0.25">
      <c r="A477">
        <v>476</v>
      </c>
      <c r="B477" s="2">
        <v>40564</v>
      </c>
      <c r="C477">
        <v>1</v>
      </c>
      <c r="D477">
        <v>1</v>
      </c>
      <c r="E477">
        <v>20</v>
      </c>
      <c r="F477" t="b">
        <v>0</v>
      </c>
      <c r="G477">
        <v>5</v>
      </c>
      <c r="H477">
        <v>1</v>
      </c>
      <c r="I477">
        <v>0.1</v>
      </c>
      <c r="J477">
        <v>7.5800000000000006E-2</v>
      </c>
      <c r="K477">
        <v>0.33</v>
      </c>
      <c r="L477">
        <v>0.41789999999999999</v>
      </c>
      <c r="M477">
        <v>1</v>
      </c>
      <c r="N477">
        <v>52</v>
      </c>
      <c r="O477">
        <v>53</v>
      </c>
    </row>
    <row r="478" spans="1:15" x14ac:dyDescent="0.25">
      <c r="A478">
        <v>477</v>
      </c>
      <c r="B478" s="2">
        <v>40564</v>
      </c>
      <c r="C478">
        <v>1</v>
      </c>
      <c r="D478">
        <v>1</v>
      </c>
      <c r="E478">
        <v>21</v>
      </c>
      <c r="F478" t="b">
        <v>0</v>
      </c>
      <c r="G478">
        <v>5</v>
      </c>
      <c r="H478">
        <v>1</v>
      </c>
      <c r="I478">
        <v>0.08</v>
      </c>
      <c r="J478">
        <v>7.5800000000000006E-2</v>
      </c>
      <c r="K478">
        <v>0.38</v>
      </c>
      <c r="L478">
        <v>0.28360000000000002</v>
      </c>
      <c r="M478">
        <v>0</v>
      </c>
      <c r="N478">
        <v>41</v>
      </c>
      <c r="O478">
        <v>41</v>
      </c>
    </row>
    <row r="479" spans="1:15" x14ac:dyDescent="0.25">
      <c r="A479">
        <v>478</v>
      </c>
      <c r="B479" s="2">
        <v>40564</v>
      </c>
      <c r="C479">
        <v>1</v>
      </c>
      <c r="D479">
        <v>1</v>
      </c>
      <c r="E479">
        <v>22</v>
      </c>
      <c r="F479" t="b">
        <v>0</v>
      </c>
      <c r="G479">
        <v>5</v>
      </c>
      <c r="H479">
        <v>1</v>
      </c>
      <c r="I479">
        <v>0.06</v>
      </c>
      <c r="J479">
        <v>3.0300000000000001E-2</v>
      </c>
      <c r="K479">
        <v>0.41</v>
      </c>
      <c r="L479">
        <v>0.3881</v>
      </c>
      <c r="M479">
        <v>1</v>
      </c>
      <c r="N479">
        <v>33</v>
      </c>
      <c r="O479">
        <v>34</v>
      </c>
    </row>
    <row r="480" spans="1:15" x14ac:dyDescent="0.25">
      <c r="A480">
        <v>479</v>
      </c>
      <c r="B480" s="2">
        <v>40564</v>
      </c>
      <c r="C480">
        <v>1</v>
      </c>
      <c r="D480">
        <v>1</v>
      </c>
      <c r="E480">
        <v>23</v>
      </c>
      <c r="F480" t="b">
        <v>0</v>
      </c>
      <c r="G480">
        <v>5</v>
      </c>
      <c r="H480">
        <v>1</v>
      </c>
      <c r="I480">
        <v>0.06</v>
      </c>
      <c r="J480">
        <v>4.5499999999999999E-2</v>
      </c>
      <c r="K480">
        <v>0.38</v>
      </c>
      <c r="L480">
        <v>0.32840000000000003</v>
      </c>
      <c r="M480">
        <v>0</v>
      </c>
      <c r="N480">
        <v>27</v>
      </c>
      <c r="O480">
        <v>27</v>
      </c>
    </row>
    <row r="481" spans="1:15" x14ac:dyDescent="0.25">
      <c r="A481">
        <v>480</v>
      </c>
      <c r="B481" s="2">
        <v>40565</v>
      </c>
      <c r="C481">
        <v>1</v>
      </c>
      <c r="D481">
        <v>1</v>
      </c>
      <c r="E481">
        <v>0</v>
      </c>
      <c r="F481" t="b">
        <v>0</v>
      </c>
      <c r="G481">
        <v>6</v>
      </c>
      <c r="H481">
        <v>1</v>
      </c>
      <c r="I481">
        <v>0.04</v>
      </c>
      <c r="J481">
        <v>3.0300000000000001E-2</v>
      </c>
      <c r="K481">
        <v>0.45</v>
      </c>
      <c r="L481">
        <v>0.25369999999999998</v>
      </c>
      <c r="M481">
        <v>0</v>
      </c>
      <c r="N481">
        <v>13</v>
      </c>
      <c r="O481">
        <v>13</v>
      </c>
    </row>
    <row r="482" spans="1:15" x14ac:dyDescent="0.25">
      <c r="A482">
        <v>481</v>
      </c>
      <c r="B482" s="2">
        <v>40565</v>
      </c>
      <c r="C482">
        <v>1</v>
      </c>
      <c r="D482">
        <v>1</v>
      </c>
      <c r="E482">
        <v>1</v>
      </c>
      <c r="F482" t="b">
        <v>0</v>
      </c>
      <c r="G482">
        <v>6</v>
      </c>
      <c r="H482">
        <v>2</v>
      </c>
      <c r="I482">
        <v>0.04</v>
      </c>
      <c r="J482">
        <v>0</v>
      </c>
      <c r="K482">
        <v>0.41</v>
      </c>
      <c r="L482">
        <v>0.3881</v>
      </c>
      <c r="M482">
        <v>3</v>
      </c>
      <c r="N482">
        <v>9</v>
      </c>
      <c r="O482">
        <v>12</v>
      </c>
    </row>
    <row r="483" spans="1:15" x14ac:dyDescent="0.25">
      <c r="A483">
        <v>482</v>
      </c>
      <c r="B483" s="2">
        <v>40565</v>
      </c>
      <c r="C483">
        <v>1</v>
      </c>
      <c r="D483">
        <v>1</v>
      </c>
      <c r="E483">
        <v>2</v>
      </c>
      <c r="F483" t="b">
        <v>0</v>
      </c>
      <c r="G483">
        <v>6</v>
      </c>
      <c r="H483">
        <v>2</v>
      </c>
      <c r="I483">
        <v>0.04</v>
      </c>
      <c r="J483">
        <v>3.0300000000000001E-2</v>
      </c>
      <c r="K483">
        <v>0.41</v>
      </c>
      <c r="L483">
        <v>0.25369999999999998</v>
      </c>
      <c r="M483">
        <v>0</v>
      </c>
      <c r="N483">
        <v>11</v>
      </c>
      <c r="O483">
        <v>11</v>
      </c>
    </row>
    <row r="484" spans="1:15" x14ac:dyDescent="0.25">
      <c r="A484">
        <v>483</v>
      </c>
      <c r="B484" s="2">
        <v>40565</v>
      </c>
      <c r="C484">
        <v>1</v>
      </c>
      <c r="D484">
        <v>1</v>
      </c>
      <c r="E484">
        <v>3</v>
      </c>
      <c r="F484" t="b">
        <v>0</v>
      </c>
      <c r="G484">
        <v>6</v>
      </c>
      <c r="H484">
        <v>2</v>
      </c>
      <c r="I484">
        <v>0.04</v>
      </c>
      <c r="J484">
        <v>3.0300000000000001E-2</v>
      </c>
      <c r="K484">
        <v>0.41</v>
      </c>
      <c r="L484">
        <v>0.28360000000000002</v>
      </c>
      <c r="M484">
        <v>1</v>
      </c>
      <c r="N484">
        <v>6</v>
      </c>
      <c r="O484">
        <v>7</v>
      </c>
    </row>
    <row r="485" spans="1:15" x14ac:dyDescent="0.25">
      <c r="A485">
        <v>484</v>
      </c>
      <c r="B485" s="2">
        <v>40565</v>
      </c>
      <c r="C485">
        <v>1</v>
      </c>
      <c r="D485">
        <v>1</v>
      </c>
      <c r="E485">
        <v>4</v>
      </c>
      <c r="F485" t="b">
        <v>0</v>
      </c>
      <c r="G485">
        <v>6</v>
      </c>
      <c r="H485">
        <v>2</v>
      </c>
      <c r="I485">
        <v>0.02</v>
      </c>
      <c r="J485">
        <v>1.52E-2</v>
      </c>
      <c r="K485">
        <v>0.48</v>
      </c>
      <c r="L485">
        <v>0.29849999999999999</v>
      </c>
      <c r="M485">
        <v>0</v>
      </c>
      <c r="N485">
        <v>3</v>
      </c>
      <c r="O485">
        <v>3</v>
      </c>
    </row>
    <row r="486" spans="1:15" x14ac:dyDescent="0.25">
      <c r="A486">
        <v>485</v>
      </c>
      <c r="B486" s="2">
        <v>40565</v>
      </c>
      <c r="C486">
        <v>1</v>
      </c>
      <c r="D486">
        <v>1</v>
      </c>
      <c r="E486">
        <v>6</v>
      </c>
      <c r="F486" t="b">
        <v>0</v>
      </c>
      <c r="G486">
        <v>6</v>
      </c>
      <c r="H486">
        <v>2</v>
      </c>
      <c r="I486">
        <v>0.02</v>
      </c>
      <c r="J486">
        <v>3.0300000000000001E-2</v>
      </c>
      <c r="K486">
        <v>0.44</v>
      </c>
      <c r="L486">
        <v>0.22389999999999999</v>
      </c>
      <c r="M486">
        <v>0</v>
      </c>
      <c r="N486">
        <v>2</v>
      </c>
      <c r="O486">
        <v>2</v>
      </c>
    </row>
    <row r="487" spans="1:15" x14ac:dyDescent="0.25">
      <c r="A487">
        <v>486</v>
      </c>
      <c r="B487" s="2">
        <v>40565</v>
      </c>
      <c r="C487">
        <v>1</v>
      </c>
      <c r="D487">
        <v>1</v>
      </c>
      <c r="E487">
        <v>7</v>
      </c>
      <c r="F487" t="b">
        <v>0</v>
      </c>
      <c r="G487">
        <v>6</v>
      </c>
      <c r="H487">
        <v>1</v>
      </c>
      <c r="I487">
        <v>0.02</v>
      </c>
      <c r="J487">
        <v>1.52E-2</v>
      </c>
      <c r="K487">
        <v>0.44</v>
      </c>
      <c r="L487">
        <v>0.28360000000000002</v>
      </c>
      <c r="M487">
        <v>0</v>
      </c>
      <c r="N487">
        <v>8</v>
      </c>
      <c r="O487">
        <v>8</v>
      </c>
    </row>
    <row r="488" spans="1:15" x14ac:dyDescent="0.25">
      <c r="A488">
        <v>487</v>
      </c>
      <c r="B488" s="2">
        <v>40565</v>
      </c>
      <c r="C488">
        <v>1</v>
      </c>
      <c r="D488">
        <v>1</v>
      </c>
      <c r="E488">
        <v>8</v>
      </c>
      <c r="F488" t="b">
        <v>0</v>
      </c>
      <c r="G488">
        <v>6</v>
      </c>
      <c r="H488">
        <v>1</v>
      </c>
      <c r="I488">
        <v>0.02</v>
      </c>
      <c r="J488">
        <v>0</v>
      </c>
      <c r="K488">
        <v>0.44</v>
      </c>
      <c r="L488">
        <v>0.32840000000000003</v>
      </c>
      <c r="M488">
        <v>1</v>
      </c>
      <c r="N488">
        <v>26</v>
      </c>
      <c r="O488">
        <v>27</v>
      </c>
    </row>
    <row r="489" spans="1:15" x14ac:dyDescent="0.25">
      <c r="A489">
        <v>488</v>
      </c>
      <c r="B489" s="2">
        <v>40565</v>
      </c>
      <c r="C489">
        <v>1</v>
      </c>
      <c r="D489">
        <v>1</v>
      </c>
      <c r="E489">
        <v>9</v>
      </c>
      <c r="F489" t="b">
        <v>0</v>
      </c>
      <c r="G489">
        <v>6</v>
      </c>
      <c r="H489">
        <v>1</v>
      </c>
      <c r="I489">
        <v>0.04</v>
      </c>
      <c r="J489">
        <v>3.0300000000000001E-2</v>
      </c>
      <c r="K489">
        <v>0.41</v>
      </c>
      <c r="L489">
        <v>0.25369999999999998</v>
      </c>
      <c r="M489">
        <v>3</v>
      </c>
      <c r="N489">
        <v>37</v>
      </c>
      <c r="O489">
        <v>40</v>
      </c>
    </row>
    <row r="490" spans="1:15" x14ac:dyDescent="0.25">
      <c r="A490">
        <v>489</v>
      </c>
      <c r="B490" s="2">
        <v>40565</v>
      </c>
      <c r="C490">
        <v>1</v>
      </c>
      <c r="D490">
        <v>1</v>
      </c>
      <c r="E490">
        <v>10</v>
      </c>
      <c r="F490" t="b">
        <v>0</v>
      </c>
      <c r="G490">
        <v>6</v>
      </c>
      <c r="H490">
        <v>2</v>
      </c>
      <c r="I490">
        <v>0.04</v>
      </c>
      <c r="J490">
        <v>6.0600000000000001E-2</v>
      </c>
      <c r="K490">
        <v>0.41</v>
      </c>
      <c r="L490">
        <v>0.16420000000000001</v>
      </c>
      <c r="M490">
        <v>3</v>
      </c>
      <c r="N490">
        <v>50</v>
      </c>
      <c r="O490">
        <v>53</v>
      </c>
    </row>
    <row r="491" spans="1:15" x14ac:dyDescent="0.25">
      <c r="A491">
        <v>490</v>
      </c>
      <c r="B491" s="2">
        <v>40565</v>
      </c>
      <c r="C491">
        <v>1</v>
      </c>
      <c r="D491">
        <v>1</v>
      </c>
      <c r="E491">
        <v>11</v>
      </c>
      <c r="F491" t="b">
        <v>0</v>
      </c>
      <c r="G491">
        <v>6</v>
      </c>
      <c r="H491">
        <v>2</v>
      </c>
      <c r="I491">
        <v>0.06</v>
      </c>
      <c r="J491">
        <v>7.5800000000000006E-2</v>
      </c>
      <c r="K491">
        <v>0.38</v>
      </c>
      <c r="L491">
        <v>0.1343</v>
      </c>
      <c r="M491">
        <v>4</v>
      </c>
      <c r="N491">
        <v>59</v>
      </c>
      <c r="O491">
        <v>63</v>
      </c>
    </row>
    <row r="492" spans="1:15" x14ac:dyDescent="0.25">
      <c r="A492">
        <v>491</v>
      </c>
      <c r="B492" s="2">
        <v>40565</v>
      </c>
      <c r="C492">
        <v>1</v>
      </c>
      <c r="D492">
        <v>1</v>
      </c>
      <c r="E492">
        <v>12</v>
      </c>
      <c r="F492" t="b">
        <v>0</v>
      </c>
      <c r="G492">
        <v>6</v>
      </c>
      <c r="H492">
        <v>2</v>
      </c>
      <c r="I492">
        <v>0.06</v>
      </c>
      <c r="J492">
        <v>0.1061</v>
      </c>
      <c r="K492">
        <v>0.38</v>
      </c>
      <c r="L492">
        <v>0.1045</v>
      </c>
      <c r="M492">
        <v>10</v>
      </c>
      <c r="N492">
        <v>60</v>
      </c>
      <c r="O492">
        <v>70</v>
      </c>
    </row>
    <row r="493" spans="1:15" x14ac:dyDescent="0.25">
      <c r="A493">
        <v>492</v>
      </c>
      <c r="B493" s="2">
        <v>40565</v>
      </c>
      <c r="C493">
        <v>1</v>
      </c>
      <c r="D493">
        <v>1</v>
      </c>
      <c r="E493">
        <v>13</v>
      </c>
      <c r="F493" t="b">
        <v>0</v>
      </c>
      <c r="G493">
        <v>6</v>
      </c>
      <c r="H493">
        <v>1</v>
      </c>
      <c r="I493">
        <v>0.08</v>
      </c>
      <c r="J493">
        <v>0.16669999999999999</v>
      </c>
      <c r="K493">
        <v>0.35</v>
      </c>
      <c r="L493">
        <v>0.25834999999999997</v>
      </c>
      <c r="M493">
        <v>12</v>
      </c>
      <c r="N493">
        <v>72</v>
      </c>
      <c r="O493">
        <v>84</v>
      </c>
    </row>
    <row r="494" spans="1:15" x14ac:dyDescent="0.25">
      <c r="A494">
        <v>493</v>
      </c>
      <c r="B494" s="2">
        <v>40565</v>
      </c>
      <c r="C494">
        <v>1</v>
      </c>
      <c r="D494">
        <v>1</v>
      </c>
      <c r="E494">
        <v>14</v>
      </c>
      <c r="F494" t="b">
        <v>0</v>
      </c>
      <c r="G494">
        <v>6</v>
      </c>
      <c r="H494">
        <v>1</v>
      </c>
      <c r="I494">
        <v>0.1</v>
      </c>
      <c r="J494">
        <v>0.13639999999999999</v>
      </c>
      <c r="K494">
        <v>0.33</v>
      </c>
      <c r="L494">
        <v>0.1045</v>
      </c>
      <c r="M494">
        <v>11</v>
      </c>
      <c r="N494">
        <v>64</v>
      </c>
      <c r="O494">
        <v>75</v>
      </c>
    </row>
    <row r="495" spans="1:15" x14ac:dyDescent="0.25">
      <c r="A495">
        <v>494</v>
      </c>
      <c r="B495" s="2">
        <v>40565</v>
      </c>
      <c r="C495">
        <v>1</v>
      </c>
      <c r="D495">
        <v>1</v>
      </c>
      <c r="E495">
        <v>15</v>
      </c>
      <c r="F495" t="b">
        <v>0</v>
      </c>
      <c r="G495">
        <v>6</v>
      </c>
      <c r="H495">
        <v>1</v>
      </c>
      <c r="I495">
        <v>0.12</v>
      </c>
      <c r="J495">
        <v>0.1515</v>
      </c>
      <c r="K495">
        <v>0.28000000000000003</v>
      </c>
      <c r="L495">
        <v>0.21575</v>
      </c>
      <c r="M495">
        <v>10</v>
      </c>
      <c r="N495">
        <v>93</v>
      </c>
      <c r="O495">
        <v>103</v>
      </c>
    </row>
    <row r="496" spans="1:15" x14ac:dyDescent="0.25">
      <c r="A496">
        <v>495</v>
      </c>
      <c r="B496" s="2">
        <v>40565</v>
      </c>
      <c r="C496">
        <v>1</v>
      </c>
      <c r="D496">
        <v>1</v>
      </c>
      <c r="E496">
        <v>16</v>
      </c>
      <c r="F496" t="b">
        <v>0</v>
      </c>
      <c r="G496">
        <v>6</v>
      </c>
      <c r="H496">
        <v>1</v>
      </c>
      <c r="I496">
        <v>0.12</v>
      </c>
      <c r="J496">
        <v>0.13639999999999999</v>
      </c>
      <c r="K496">
        <v>0.28000000000000003</v>
      </c>
      <c r="L496">
        <v>0.19400000000000001</v>
      </c>
      <c r="M496">
        <v>11</v>
      </c>
      <c r="N496">
        <v>72</v>
      </c>
      <c r="O496">
        <v>83</v>
      </c>
    </row>
    <row r="497" spans="1:15" x14ac:dyDescent="0.25">
      <c r="A497">
        <v>496</v>
      </c>
      <c r="B497" s="2">
        <v>40565</v>
      </c>
      <c r="C497">
        <v>1</v>
      </c>
      <c r="D497">
        <v>1</v>
      </c>
      <c r="E497">
        <v>17</v>
      </c>
      <c r="F497" t="b">
        <v>0</v>
      </c>
      <c r="G497">
        <v>6</v>
      </c>
      <c r="H497">
        <v>1</v>
      </c>
      <c r="I497">
        <v>0.12</v>
      </c>
      <c r="J497">
        <v>0.19700000000000001</v>
      </c>
      <c r="K497">
        <v>0.28000000000000003</v>
      </c>
      <c r="L497">
        <v>0.23850000000000002</v>
      </c>
      <c r="M497">
        <v>8</v>
      </c>
      <c r="N497">
        <v>59</v>
      </c>
      <c r="O497">
        <v>67</v>
      </c>
    </row>
    <row r="498" spans="1:15" x14ac:dyDescent="0.25">
      <c r="A498">
        <v>497</v>
      </c>
      <c r="B498" s="2">
        <v>40565</v>
      </c>
      <c r="C498">
        <v>1</v>
      </c>
      <c r="D498">
        <v>1</v>
      </c>
      <c r="E498">
        <v>18</v>
      </c>
      <c r="F498" t="b">
        <v>0</v>
      </c>
      <c r="G498">
        <v>6</v>
      </c>
      <c r="H498">
        <v>1</v>
      </c>
      <c r="I498">
        <v>0.08</v>
      </c>
      <c r="J498">
        <v>9.0899999999999995E-2</v>
      </c>
      <c r="K498">
        <v>0.35</v>
      </c>
      <c r="L498">
        <v>0.19400000000000001</v>
      </c>
      <c r="M498">
        <v>0</v>
      </c>
      <c r="N498">
        <v>54</v>
      </c>
      <c r="O498">
        <v>54</v>
      </c>
    </row>
    <row r="499" spans="1:15" x14ac:dyDescent="0.25">
      <c r="A499">
        <v>498</v>
      </c>
      <c r="B499" s="2">
        <v>40565</v>
      </c>
      <c r="C499">
        <v>1</v>
      </c>
      <c r="D499">
        <v>1</v>
      </c>
      <c r="E499">
        <v>19</v>
      </c>
      <c r="F499" t="b">
        <v>0</v>
      </c>
      <c r="G499">
        <v>6</v>
      </c>
      <c r="H499">
        <v>1</v>
      </c>
      <c r="I499">
        <v>0.08</v>
      </c>
      <c r="J499">
        <v>0.1061</v>
      </c>
      <c r="K499">
        <v>0.35</v>
      </c>
      <c r="L499">
        <v>0.1343</v>
      </c>
      <c r="M499">
        <v>6</v>
      </c>
      <c r="N499">
        <v>53</v>
      </c>
      <c r="O499">
        <v>59</v>
      </c>
    </row>
    <row r="500" spans="1:15" x14ac:dyDescent="0.25">
      <c r="A500">
        <v>499</v>
      </c>
      <c r="B500" s="2">
        <v>40565</v>
      </c>
      <c r="C500">
        <v>1</v>
      </c>
      <c r="D500">
        <v>1</v>
      </c>
      <c r="E500">
        <v>20</v>
      </c>
      <c r="F500" t="b">
        <v>0</v>
      </c>
      <c r="G500">
        <v>6</v>
      </c>
      <c r="H500">
        <v>1</v>
      </c>
      <c r="I500">
        <v>0.06</v>
      </c>
      <c r="J500">
        <v>7.5800000000000006E-2</v>
      </c>
      <c r="K500">
        <v>0.45</v>
      </c>
      <c r="L500">
        <v>0.16420000000000001</v>
      </c>
      <c r="M500">
        <v>1</v>
      </c>
      <c r="N500">
        <v>44</v>
      </c>
      <c r="O500">
        <v>45</v>
      </c>
    </row>
    <row r="501" spans="1:15" x14ac:dyDescent="0.25">
      <c r="A501">
        <v>500</v>
      </c>
      <c r="B501" s="2">
        <v>40565</v>
      </c>
      <c r="C501">
        <v>1</v>
      </c>
      <c r="D501">
        <v>1</v>
      </c>
      <c r="E501">
        <v>21</v>
      </c>
      <c r="F501" t="b">
        <v>0</v>
      </c>
      <c r="G501">
        <v>6</v>
      </c>
      <c r="H501">
        <v>1</v>
      </c>
      <c r="I501">
        <v>0.06</v>
      </c>
      <c r="J501">
        <v>0.1061</v>
      </c>
      <c r="K501">
        <v>0.41</v>
      </c>
      <c r="L501">
        <v>8.9599999999999999E-2</v>
      </c>
      <c r="M501">
        <v>0</v>
      </c>
      <c r="N501">
        <v>39</v>
      </c>
      <c r="O501">
        <v>39</v>
      </c>
    </row>
    <row r="502" spans="1:15" x14ac:dyDescent="0.25">
      <c r="A502">
        <v>501</v>
      </c>
      <c r="B502" s="2">
        <v>40565</v>
      </c>
      <c r="C502">
        <v>1</v>
      </c>
      <c r="D502">
        <v>1</v>
      </c>
      <c r="E502">
        <v>22</v>
      </c>
      <c r="F502" t="b">
        <v>0</v>
      </c>
      <c r="G502">
        <v>6</v>
      </c>
      <c r="H502">
        <v>1</v>
      </c>
      <c r="I502">
        <v>0.06</v>
      </c>
      <c r="J502">
        <v>0.1515</v>
      </c>
      <c r="K502">
        <v>0.49</v>
      </c>
      <c r="L502">
        <v>0.32074999999999998</v>
      </c>
      <c r="M502">
        <v>7</v>
      </c>
      <c r="N502">
        <v>23</v>
      </c>
      <c r="O502">
        <v>30</v>
      </c>
    </row>
    <row r="503" spans="1:15" x14ac:dyDescent="0.25">
      <c r="A503">
        <v>502</v>
      </c>
      <c r="B503" s="2">
        <v>40565</v>
      </c>
      <c r="C503">
        <v>1</v>
      </c>
      <c r="D503">
        <v>1</v>
      </c>
      <c r="E503">
        <v>23</v>
      </c>
      <c r="F503" t="b">
        <v>0</v>
      </c>
      <c r="G503">
        <v>6</v>
      </c>
      <c r="H503">
        <v>1</v>
      </c>
      <c r="I503">
        <v>0.04</v>
      </c>
      <c r="J503">
        <v>7.5800000000000006E-2</v>
      </c>
      <c r="K503">
        <v>0.56999999999999995</v>
      </c>
      <c r="L503">
        <v>0.1045</v>
      </c>
      <c r="M503">
        <v>2</v>
      </c>
      <c r="N503">
        <v>31</v>
      </c>
      <c r="O503">
        <v>33</v>
      </c>
    </row>
    <row r="504" spans="1:15" x14ac:dyDescent="0.25">
      <c r="A504">
        <v>503</v>
      </c>
      <c r="B504" s="2">
        <v>40566</v>
      </c>
      <c r="C504">
        <v>1</v>
      </c>
      <c r="D504">
        <v>1</v>
      </c>
      <c r="E504">
        <v>0</v>
      </c>
      <c r="F504" t="b">
        <v>0</v>
      </c>
      <c r="G504">
        <v>0</v>
      </c>
      <c r="H504">
        <v>1</v>
      </c>
      <c r="I504">
        <v>0.04</v>
      </c>
      <c r="J504">
        <v>7.5800000000000006E-2</v>
      </c>
      <c r="K504">
        <v>0.56999999999999995</v>
      </c>
      <c r="L504">
        <v>0.1045</v>
      </c>
      <c r="M504">
        <v>2</v>
      </c>
      <c r="N504">
        <v>20</v>
      </c>
      <c r="O504">
        <v>22</v>
      </c>
    </row>
    <row r="505" spans="1:15" x14ac:dyDescent="0.25">
      <c r="A505">
        <v>504</v>
      </c>
      <c r="B505" s="2">
        <v>40566</v>
      </c>
      <c r="C505">
        <v>1</v>
      </c>
      <c r="D505">
        <v>1</v>
      </c>
      <c r="E505">
        <v>1</v>
      </c>
      <c r="F505" t="b">
        <v>0</v>
      </c>
      <c r="G505">
        <v>0</v>
      </c>
      <c r="H505">
        <v>1</v>
      </c>
      <c r="I505">
        <v>0.04</v>
      </c>
      <c r="J505">
        <v>7.5800000000000006E-2</v>
      </c>
      <c r="K505">
        <v>0.56999999999999995</v>
      </c>
      <c r="L505">
        <v>0.1045</v>
      </c>
      <c r="M505">
        <v>1</v>
      </c>
      <c r="N505">
        <v>12</v>
      </c>
      <c r="O505">
        <v>13</v>
      </c>
    </row>
    <row r="506" spans="1:15" x14ac:dyDescent="0.25">
      <c r="A506">
        <v>505</v>
      </c>
      <c r="B506" s="2">
        <v>40566</v>
      </c>
      <c r="C506">
        <v>1</v>
      </c>
      <c r="D506">
        <v>1</v>
      </c>
      <c r="E506">
        <v>2</v>
      </c>
      <c r="F506" t="b">
        <v>0</v>
      </c>
      <c r="G506">
        <v>0</v>
      </c>
      <c r="H506">
        <v>1</v>
      </c>
      <c r="I506">
        <v>0.02</v>
      </c>
      <c r="J506">
        <v>6.0600000000000001E-2</v>
      </c>
      <c r="K506">
        <v>0.62</v>
      </c>
      <c r="L506">
        <v>0.1343</v>
      </c>
      <c r="M506">
        <v>3</v>
      </c>
      <c r="N506">
        <v>15</v>
      </c>
      <c r="O506">
        <v>18</v>
      </c>
    </row>
    <row r="507" spans="1:15" x14ac:dyDescent="0.25">
      <c r="A507">
        <v>506</v>
      </c>
      <c r="B507" s="2">
        <v>40566</v>
      </c>
      <c r="C507">
        <v>1</v>
      </c>
      <c r="D507">
        <v>1</v>
      </c>
      <c r="E507">
        <v>3</v>
      </c>
      <c r="F507" t="b">
        <v>0</v>
      </c>
      <c r="G507">
        <v>0</v>
      </c>
      <c r="H507">
        <v>1</v>
      </c>
      <c r="I507">
        <v>0.02</v>
      </c>
      <c r="J507">
        <v>6.0600000000000001E-2</v>
      </c>
      <c r="K507">
        <v>0.62</v>
      </c>
      <c r="L507">
        <v>0.1343</v>
      </c>
      <c r="M507">
        <v>1</v>
      </c>
      <c r="N507">
        <v>4</v>
      </c>
      <c r="O507">
        <v>5</v>
      </c>
    </row>
    <row r="508" spans="1:15" x14ac:dyDescent="0.25">
      <c r="A508">
        <v>507</v>
      </c>
      <c r="B508" s="2">
        <v>40566</v>
      </c>
      <c r="C508">
        <v>1</v>
      </c>
      <c r="D508">
        <v>1</v>
      </c>
      <c r="E508">
        <v>5</v>
      </c>
      <c r="F508" t="b">
        <v>0</v>
      </c>
      <c r="G508">
        <v>0</v>
      </c>
      <c r="H508">
        <v>2</v>
      </c>
      <c r="I508">
        <v>0.04</v>
      </c>
      <c r="J508">
        <v>7.5800000000000006E-2</v>
      </c>
      <c r="K508">
        <v>0.56999999999999995</v>
      </c>
      <c r="L508">
        <v>0.1045</v>
      </c>
      <c r="M508">
        <v>0</v>
      </c>
      <c r="N508">
        <v>3</v>
      </c>
      <c r="O508">
        <v>3</v>
      </c>
    </row>
    <row r="509" spans="1:15" x14ac:dyDescent="0.25">
      <c r="A509">
        <v>508</v>
      </c>
      <c r="B509" s="2">
        <v>40566</v>
      </c>
      <c r="C509">
        <v>1</v>
      </c>
      <c r="D509">
        <v>1</v>
      </c>
      <c r="E509">
        <v>6</v>
      </c>
      <c r="F509" t="b">
        <v>0</v>
      </c>
      <c r="G509">
        <v>0</v>
      </c>
      <c r="H509">
        <v>2</v>
      </c>
      <c r="I509">
        <v>0.04</v>
      </c>
      <c r="J509">
        <v>7.5800000000000006E-2</v>
      </c>
      <c r="K509">
        <v>0.56999999999999995</v>
      </c>
      <c r="L509">
        <v>0.1045</v>
      </c>
      <c r="M509">
        <v>0</v>
      </c>
      <c r="N509">
        <v>1</v>
      </c>
      <c r="O509">
        <v>1</v>
      </c>
    </row>
    <row r="510" spans="1:15" x14ac:dyDescent="0.25">
      <c r="A510">
        <v>509</v>
      </c>
      <c r="B510" s="2">
        <v>40566</v>
      </c>
      <c r="C510">
        <v>1</v>
      </c>
      <c r="D510">
        <v>1</v>
      </c>
      <c r="E510">
        <v>7</v>
      </c>
      <c r="F510" t="b">
        <v>0</v>
      </c>
      <c r="G510">
        <v>0</v>
      </c>
      <c r="H510">
        <v>1</v>
      </c>
      <c r="I510">
        <v>0.08</v>
      </c>
      <c r="J510">
        <v>0.1061</v>
      </c>
      <c r="K510">
        <v>0.57999999999999996</v>
      </c>
      <c r="L510">
        <v>0.16420000000000001</v>
      </c>
      <c r="M510">
        <v>1</v>
      </c>
      <c r="N510">
        <v>1</v>
      </c>
      <c r="O510">
        <v>2</v>
      </c>
    </row>
    <row r="511" spans="1:15" x14ac:dyDescent="0.25">
      <c r="A511">
        <v>510</v>
      </c>
      <c r="B511" s="2">
        <v>40566</v>
      </c>
      <c r="C511">
        <v>1</v>
      </c>
      <c r="D511">
        <v>1</v>
      </c>
      <c r="E511">
        <v>8</v>
      </c>
      <c r="F511" t="b">
        <v>0</v>
      </c>
      <c r="G511">
        <v>0</v>
      </c>
      <c r="H511">
        <v>1</v>
      </c>
      <c r="I511">
        <v>0.06</v>
      </c>
      <c r="J511">
        <v>7.5800000000000006E-2</v>
      </c>
      <c r="K511">
        <v>0.62</v>
      </c>
      <c r="L511">
        <v>0.16420000000000001</v>
      </c>
      <c r="M511">
        <v>2</v>
      </c>
      <c r="N511">
        <v>17</v>
      </c>
      <c r="O511">
        <v>19</v>
      </c>
    </row>
    <row r="512" spans="1:15" x14ac:dyDescent="0.25">
      <c r="A512">
        <v>511</v>
      </c>
      <c r="B512" s="2">
        <v>40566</v>
      </c>
      <c r="C512">
        <v>1</v>
      </c>
      <c r="D512">
        <v>1</v>
      </c>
      <c r="E512">
        <v>9</v>
      </c>
      <c r="F512" t="b">
        <v>0</v>
      </c>
      <c r="G512">
        <v>0</v>
      </c>
      <c r="H512">
        <v>1</v>
      </c>
      <c r="I512">
        <v>0.1</v>
      </c>
      <c r="J512">
        <v>7.5800000000000006E-2</v>
      </c>
      <c r="K512">
        <v>0.54</v>
      </c>
      <c r="L512">
        <v>0.35820000000000002</v>
      </c>
      <c r="M512">
        <v>3</v>
      </c>
      <c r="N512">
        <v>25</v>
      </c>
      <c r="O512">
        <v>28</v>
      </c>
    </row>
    <row r="513" spans="1:15" x14ac:dyDescent="0.25">
      <c r="A513">
        <v>512</v>
      </c>
      <c r="B513" s="2">
        <v>40566</v>
      </c>
      <c r="C513">
        <v>1</v>
      </c>
      <c r="D513">
        <v>1</v>
      </c>
      <c r="E513">
        <v>10</v>
      </c>
      <c r="F513" t="b">
        <v>0</v>
      </c>
      <c r="G513">
        <v>0</v>
      </c>
      <c r="H513">
        <v>1</v>
      </c>
      <c r="I513">
        <v>0.14000000000000001</v>
      </c>
      <c r="J513">
        <v>0.1061</v>
      </c>
      <c r="K513">
        <v>0.46</v>
      </c>
      <c r="L513">
        <v>0.3881</v>
      </c>
      <c r="M513">
        <v>7</v>
      </c>
      <c r="N513">
        <v>51</v>
      </c>
      <c r="O513">
        <v>58</v>
      </c>
    </row>
    <row r="514" spans="1:15" x14ac:dyDescent="0.25">
      <c r="A514">
        <v>513</v>
      </c>
      <c r="B514" s="2">
        <v>40566</v>
      </c>
      <c r="C514">
        <v>1</v>
      </c>
      <c r="D514">
        <v>1</v>
      </c>
      <c r="E514">
        <v>11</v>
      </c>
      <c r="F514" t="b">
        <v>0</v>
      </c>
      <c r="G514">
        <v>0</v>
      </c>
      <c r="H514">
        <v>1</v>
      </c>
      <c r="I514">
        <v>0.14000000000000001</v>
      </c>
      <c r="J514">
        <v>0.13639999999999999</v>
      </c>
      <c r="K514">
        <v>0.43</v>
      </c>
      <c r="L514">
        <v>0.22389999999999999</v>
      </c>
      <c r="M514">
        <v>22</v>
      </c>
      <c r="N514">
        <v>77</v>
      </c>
      <c r="O514">
        <v>99</v>
      </c>
    </row>
    <row r="515" spans="1:15" x14ac:dyDescent="0.25">
      <c r="A515">
        <v>514</v>
      </c>
      <c r="B515" s="2">
        <v>40566</v>
      </c>
      <c r="C515">
        <v>1</v>
      </c>
      <c r="D515">
        <v>1</v>
      </c>
      <c r="E515">
        <v>12</v>
      </c>
      <c r="F515" t="b">
        <v>0</v>
      </c>
      <c r="G515">
        <v>0</v>
      </c>
      <c r="H515">
        <v>1</v>
      </c>
      <c r="I515">
        <v>0.16</v>
      </c>
      <c r="J515">
        <v>0.1212</v>
      </c>
      <c r="K515">
        <v>0.37</v>
      </c>
      <c r="L515">
        <v>0.4627</v>
      </c>
      <c r="M515">
        <v>24</v>
      </c>
      <c r="N515">
        <v>92</v>
      </c>
      <c r="O515">
        <v>116</v>
      </c>
    </row>
    <row r="516" spans="1:15" x14ac:dyDescent="0.25">
      <c r="A516">
        <v>515</v>
      </c>
      <c r="B516" s="2">
        <v>40566</v>
      </c>
      <c r="C516">
        <v>1</v>
      </c>
      <c r="D516">
        <v>1</v>
      </c>
      <c r="E516">
        <v>13</v>
      </c>
      <c r="F516" t="b">
        <v>0</v>
      </c>
      <c r="G516">
        <v>0</v>
      </c>
      <c r="H516">
        <v>1</v>
      </c>
      <c r="I516">
        <v>0.14000000000000001</v>
      </c>
      <c r="J516">
        <v>0.1061</v>
      </c>
      <c r="K516">
        <v>0.33</v>
      </c>
      <c r="L516">
        <v>0.3881</v>
      </c>
      <c r="M516">
        <v>12</v>
      </c>
      <c r="N516">
        <v>75</v>
      </c>
      <c r="O516">
        <v>87</v>
      </c>
    </row>
    <row r="517" spans="1:15" x14ac:dyDescent="0.25">
      <c r="A517">
        <v>516</v>
      </c>
      <c r="B517" s="2">
        <v>40566</v>
      </c>
      <c r="C517">
        <v>1</v>
      </c>
      <c r="D517">
        <v>1</v>
      </c>
      <c r="E517">
        <v>14</v>
      </c>
      <c r="F517" t="b">
        <v>0</v>
      </c>
      <c r="G517">
        <v>0</v>
      </c>
      <c r="H517">
        <v>1</v>
      </c>
      <c r="I517">
        <v>0.16</v>
      </c>
      <c r="J517">
        <v>0.13639999999999999</v>
      </c>
      <c r="K517">
        <v>0.28000000000000003</v>
      </c>
      <c r="L517">
        <v>0.35820000000000002</v>
      </c>
      <c r="M517">
        <v>17</v>
      </c>
      <c r="N517">
        <v>93</v>
      </c>
      <c r="O517">
        <v>110</v>
      </c>
    </row>
    <row r="518" spans="1:15" x14ac:dyDescent="0.25">
      <c r="A518">
        <v>517</v>
      </c>
      <c r="B518" s="2">
        <v>40566</v>
      </c>
      <c r="C518">
        <v>1</v>
      </c>
      <c r="D518">
        <v>1</v>
      </c>
      <c r="E518">
        <v>15</v>
      </c>
      <c r="F518" t="b">
        <v>0</v>
      </c>
      <c r="G518">
        <v>0</v>
      </c>
      <c r="H518">
        <v>1</v>
      </c>
      <c r="I518">
        <v>0.16</v>
      </c>
      <c r="J518">
        <v>0.13639999999999999</v>
      </c>
      <c r="K518">
        <v>0.28000000000000003</v>
      </c>
      <c r="L518">
        <v>0.35820000000000002</v>
      </c>
      <c r="M518">
        <v>13</v>
      </c>
      <c r="N518">
        <v>64</v>
      </c>
      <c r="O518">
        <v>77</v>
      </c>
    </row>
    <row r="519" spans="1:15" x14ac:dyDescent="0.25">
      <c r="A519">
        <v>518</v>
      </c>
      <c r="B519" s="2">
        <v>40566</v>
      </c>
      <c r="C519">
        <v>1</v>
      </c>
      <c r="D519">
        <v>1</v>
      </c>
      <c r="E519">
        <v>16</v>
      </c>
      <c r="F519" t="b">
        <v>0</v>
      </c>
      <c r="G519">
        <v>0</v>
      </c>
      <c r="H519">
        <v>1</v>
      </c>
      <c r="I519">
        <v>0.16</v>
      </c>
      <c r="J519">
        <v>0.13639999999999999</v>
      </c>
      <c r="K519">
        <v>0.26</v>
      </c>
      <c r="L519">
        <v>0.32840000000000003</v>
      </c>
      <c r="M519">
        <v>9</v>
      </c>
      <c r="N519">
        <v>56</v>
      </c>
      <c r="O519">
        <v>65</v>
      </c>
    </row>
    <row r="520" spans="1:15" x14ac:dyDescent="0.25">
      <c r="A520">
        <v>519</v>
      </c>
      <c r="B520" s="2">
        <v>40566</v>
      </c>
      <c r="C520">
        <v>1</v>
      </c>
      <c r="D520">
        <v>1</v>
      </c>
      <c r="E520">
        <v>17</v>
      </c>
      <c r="F520" t="b">
        <v>0</v>
      </c>
      <c r="G520">
        <v>0</v>
      </c>
      <c r="H520">
        <v>1</v>
      </c>
      <c r="I520">
        <v>0.14000000000000001</v>
      </c>
      <c r="J520">
        <v>0.1061</v>
      </c>
      <c r="K520">
        <v>0.26</v>
      </c>
      <c r="L520">
        <v>0.3881</v>
      </c>
      <c r="M520">
        <v>5</v>
      </c>
      <c r="N520">
        <v>50</v>
      </c>
      <c r="O520">
        <v>55</v>
      </c>
    </row>
    <row r="521" spans="1:15" x14ac:dyDescent="0.25">
      <c r="A521">
        <v>520</v>
      </c>
      <c r="B521" s="2">
        <v>40566</v>
      </c>
      <c r="C521">
        <v>1</v>
      </c>
      <c r="D521">
        <v>1</v>
      </c>
      <c r="E521">
        <v>18</v>
      </c>
      <c r="F521" t="b">
        <v>0</v>
      </c>
      <c r="G521">
        <v>0</v>
      </c>
      <c r="H521">
        <v>1</v>
      </c>
      <c r="I521">
        <v>0.12</v>
      </c>
      <c r="J521">
        <v>0.1212</v>
      </c>
      <c r="K521">
        <v>0.3</v>
      </c>
      <c r="L521">
        <v>0.25369999999999998</v>
      </c>
      <c r="M521">
        <v>5</v>
      </c>
      <c r="N521">
        <v>44</v>
      </c>
      <c r="O521">
        <v>49</v>
      </c>
    </row>
    <row r="522" spans="1:15" x14ac:dyDescent="0.25">
      <c r="A522">
        <v>521</v>
      </c>
      <c r="B522" s="2">
        <v>40566</v>
      </c>
      <c r="C522">
        <v>1</v>
      </c>
      <c r="D522">
        <v>1</v>
      </c>
      <c r="E522">
        <v>19</v>
      </c>
      <c r="F522" t="b">
        <v>0</v>
      </c>
      <c r="G522">
        <v>0</v>
      </c>
      <c r="H522">
        <v>1</v>
      </c>
      <c r="I522">
        <v>0.12</v>
      </c>
      <c r="J522">
        <v>0.1212</v>
      </c>
      <c r="K522">
        <v>0.3</v>
      </c>
      <c r="L522">
        <v>0.28360000000000002</v>
      </c>
      <c r="M522">
        <v>5</v>
      </c>
      <c r="N522">
        <v>45</v>
      </c>
      <c r="O522">
        <v>50</v>
      </c>
    </row>
    <row r="523" spans="1:15" x14ac:dyDescent="0.25">
      <c r="A523">
        <v>522</v>
      </c>
      <c r="B523" s="2">
        <v>40566</v>
      </c>
      <c r="C523">
        <v>1</v>
      </c>
      <c r="D523">
        <v>1</v>
      </c>
      <c r="E523">
        <v>20</v>
      </c>
      <c r="F523" t="b">
        <v>0</v>
      </c>
      <c r="G523">
        <v>0</v>
      </c>
      <c r="H523">
        <v>1</v>
      </c>
      <c r="I523">
        <v>0.1</v>
      </c>
      <c r="J523">
        <v>0.1061</v>
      </c>
      <c r="K523">
        <v>0.36</v>
      </c>
      <c r="L523">
        <v>0.25369999999999998</v>
      </c>
      <c r="M523">
        <v>4</v>
      </c>
      <c r="N523">
        <v>31</v>
      </c>
      <c r="O523">
        <v>35</v>
      </c>
    </row>
    <row r="524" spans="1:15" x14ac:dyDescent="0.25">
      <c r="A524">
        <v>523</v>
      </c>
      <c r="B524" s="2">
        <v>40566</v>
      </c>
      <c r="C524">
        <v>1</v>
      </c>
      <c r="D524">
        <v>1</v>
      </c>
      <c r="E524">
        <v>21</v>
      </c>
      <c r="F524" t="b">
        <v>0</v>
      </c>
      <c r="G524">
        <v>0</v>
      </c>
      <c r="H524">
        <v>1</v>
      </c>
      <c r="I524">
        <v>0.1</v>
      </c>
      <c r="J524">
        <v>0.1061</v>
      </c>
      <c r="K524">
        <v>0.36</v>
      </c>
      <c r="L524">
        <v>0.19400000000000001</v>
      </c>
      <c r="M524">
        <v>5</v>
      </c>
      <c r="N524">
        <v>20</v>
      </c>
      <c r="O524">
        <v>25</v>
      </c>
    </row>
    <row r="525" spans="1:15" x14ac:dyDescent="0.25">
      <c r="A525">
        <v>524</v>
      </c>
      <c r="B525" s="2">
        <v>40566</v>
      </c>
      <c r="C525">
        <v>1</v>
      </c>
      <c r="D525">
        <v>1</v>
      </c>
      <c r="E525">
        <v>22</v>
      </c>
      <c r="F525" t="b">
        <v>0</v>
      </c>
      <c r="G525">
        <v>0</v>
      </c>
      <c r="H525">
        <v>1</v>
      </c>
      <c r="I525">
        <v>0.08</v>
      </c>
      <c r="J525">
        <v>9.0899999999999995E-2</v>
      </c>
      <c r="K525">
        <v>0.38</v>
      </c>
      <c r="L525">
        <v>0.19400000000000001</v>
      </c>
      <c r="M525">
        <v>5</v>
      </c>
      <c r="N525">
        <v>23</v>
      </c>
      <c r="O525">
        <v>28</v>
      </c>
    </row>
    <row r="526" spans="1:15" x14ac:dyDescent="0.25">
      <c r="A526">
        <v>525</v>
      </c>
      <c r="B526" s="2">
        <v>40566</v>
      </c>
      <c r="C526">
        <v>1</v>
      </c>
      <c r="D526">
        <v>1</v>
      </c>
      <c r="E526">
        <v>23</v>
      </c>
      <c r="F526" t="b">
        <v>0</v>
      </c>
      <c r="G526">
        <v>0</v>
      </c>
      <c r="H526">
        <v>1</v>
      </c>
      <c r="I526">
        <v>0.06</v>
      </c>
      <c r="J526">
        <v>6.0600000000000001E-2</v>
      </c>
      <c r="K526">
        <v>0.41</v>
      </c>
      <c r="L526">
        <v>0.22389999999999999</v>
      </c>
      <c r="M526">
        <v>4</v>
      </c>
      <c r="N526">
        <v>17</v>
      </c>
      <c r="O526">
        <v>21</v>
      </c>
    </row>
    <row r="527" spans="1:15" x14ac:dyDescent="0.25">
      <c r="A527">
        <v>526</v>
      </c>
      <c r="B527" s="2">
        <v>40567</v>
      </c>
      <c r="C527">
        <v>1</v>
      </c>
      <c r="D527">
        <v>1</v>
      </c>
      <c r="E527">
        <v>0</v>
      </c>
      <c r="F527" t="b">
        <v>0</v>
      </c>
      <c r="G527">
        <v>1</v>
      </c>
      <c r="H527">
        <v>1</v>
      </c>
      <c r="I527">
        <v>0.06</v>
      </c>
      <c r="J527">
        <v>6.0600000000000001E-2</v>
      </c>
      <c r="K527">
        <v>0.41</v>
      </c>
      <c r="L527">
        <v>0.19400000000000001</v>
      </c>
      <c r="M527">
        <v>0</v>
      </c>
      <c r="N527">
        <v>7</v>
      </c>
      <c r="O527">
        <v>7</v>
      </c>
    </row>
    <row r="528" spans="1:15" x14ac:dyDescent="0.25">
      <c r="A528">
        <v>527</v>
      </c>
      <c r="B528" s="2">
        <v>40567</v>
      </c>
      <c r="C528">
        <v>1</v>
      </c>
      <c r="D528">
        <v>1</v>
      </c>
      <c r="E528">
        <v>1</v>
      </c>
      <c r="F528" t="b">
        <v>0</v>
      </c>
      <c r="G528">
        <v>1</v>
      </c>
      <c r="H528">
        <v>1</v>
      </c>
      <c r="I528">
        <v>0.04</v>
      </c>
      <c r="J528">
        <v>4.5499999999999999E-2</v>
      </c>
      <c r="K528">
        <v>0.45</v>
      </c>
      <c r="L528">
        <v>0.19400000000000001</v>
      </c>
      <c r="M528">
        <v>0</v>
      </c>
      <c r="N528">
        <v>1</v>
      </c>
      <c r="O528">
        <v>1</v>
      </c>
    </row>
    <row r="529" spans="1:15" x14ac:dyDescent="0.25">
      <c r="A529">
        <v>528</v>
      </c>
      <c r="B529" s="2">
        <v>40567</v>
      </c>
      <c r="C529">
        <v>1</v>
      </c>
      <c r="D529">
        <v>1</v>
      </c>
      <c r="E529">
        <v>3</v>
      </c>
      <c r="F529" t="b">
        <v>0</v>
      </c>
      <c r="G529">
        <v>1</v>
      </c>
      <c r="H529">
        <v>1</v>
      </c>
      <c r="I529">
        <v>0.04</v>
      </c>
      <c r="J529">
        <v>3.0300000000000001E-2</v>
      </c>
      <c r="K529">
        <v>0.45</v>
      </c>
      <c r="L529">
        <v>0.25369999999999998</v>
      </c>
      <c r="M529">
        <v>0</v>
      </c>
      <c r="N529">
        <v>1</v>
      </c>
      <c r="O529">
        <v>1</v>
      </c>
    </row>
    <row r="530" spans="1:15" x14ac:dyDescent="0.25">
      <c r="A530">
        <v>529</v>
      </c>
      <c r="B530" s="2">
        <v>40567</v>
      </c>
      <c r="C530">
        <v>1</v>
      </c>
      <c r="D530">
        <v>1</v>
      </c>
      <c r="E530">
        <v>4</v>
      </c>
      <c r="F530" t="b">
        <v>0</v>
      </c>
      <c r="G530">
        <v>1</v>
      </c>
      <c r="H530">
        <v>1</v>
      </c>
      <c r="I530">
        <v>0.02</v>
      </c>
      <c r="J530">
        <v>6.0600000000000001E-2</v>
      </c>
      <c r="K530">
        <v>0.48</v>
      </c>
      <c r="L530">
        <v>0.1343</v>
      </c>
      <c r="M530">
        <v>0</v>
      </c>
      <c r="N530">
        <v>1</v>
      </c>
      <c r="O530">
        <v>1</v>
      </c>
    </row>
    <row r="531" spans="1:15" x14ac:dyDescent="0.25">
      <c r="A531">
        <v>530</v>
      </c>
      <c r="B531" s="2">
        <v>40567</v>
      </c>
      <c r="C531">
        <v>1</v>
      </c>
      <c r="D531">
        <v>1</v>
      </c>
      <c r="E531">
        <v>5</v>
      </c>
      <c r="F531" t="b">
        <v>0</v>
      </c>
      <c r="G531">
        <v>1</v>
      </c>
      <c r="H531">
        <v>1</v>
      </c>
      <c r="I531">
        <v>0.02</v>
      </c>
      <c r="J531">
        <v>6.0600000000000001E-2</v>
      </c>
      <c r="K531">
        <v>0.48</v>
      </c>
      <c r="L531">
        <v>0.1343</v>
      </c>
      <c r="M531">
        <v>0</v>
      </c>
      <c r="N531">
        <v>5</v>
      </c>
      <c r="O531">
        <v>5</v>
      </c>
    </row>
    <row r="532" spans="1:15" x14ac:dyDescent="0.25">
      <c r="A532">
        <v>531</v>
      </c>
      <c r="B532" s="2">
        <v>40567</v>
      </c>
      <c r="C532">
        <v>1</v>
      </c>
      <c r="D532">
        <v>1</v>
      </c>
      <c r="E532">
        <v>6</v>
      </c>
      <c r="F532" t="b">
        <v>0</v>
      </c>
      <c r="G532">
        <v>1</v>
      </c>
      <c r="H532">
        <v>1</v>
      </c>
      <c r="I532">
        <v>0.02</v>
      </c>
      <c r="J532">
        <v>7.5800000000000006E-2</v>
      </c>
      <c r="K532">
        <v>0.48</v>
      </c>
      <c r="L532">
        <v>8.9599999999999999E-2</v>
      </c>
      <c r="M532">
        <v>0</v>
      </c>
      <c r="N532">
        <v>15</v>
      </c>
      <c r="O532">
        <v>15</v>
      </c>
    </row>
    <row r="533" spans="1:15" x14ac:dyDescent="0.25">
      <c r="A533">
        <v>532</v>
      </c>
      <c r="B533" s="2">
        <v>40567</v>
      </c>
      <c r="C533">
        <v>1</v>
      </c>
      <c r="D533">
        <v>1</v>
      </c>
      <c r="E533">
        <v>7</v>
      </c>
      <c r="F533" t="b">
        <v>0</v>
      </c>
      <c r="G533">
        <v>1</v>
      </c>
      <c r="H533">
        <v>1</v>
      </c>
      <c r="I533">
        <v>0.02</v>
      </c>
      <c r="J533">
        <v>0.1212</v>
      </c>
      <c r="K533">
        <v>0.48</v>
      </c>
      <c r="L533">
        <v>0.30059999999999998</v>
      </c>
      <c r="M533">
        <v>5</v>
      </c>
      <c r="N533">
        <v>79</v>
      </c>
      <c r="O533">
        <v>84</v>
      </c>
    </row>
    <row r="534" spans="1:15" x14ac:dyDescent="0.25">
      <c r="A534">
        <v>533</v>
      </c>
      <c r="B534" s="2">
        <v>40567</v>
      </c>
      <c r="C534">
        <v>1</v>
      </c>
      <c r="D534">
        <v>1</v>
      </c>
      <c r="E534">
        <v>8</v>
      </c>
      <c r="F534" t="b">
        <v>0</v>
      </c>
      <c r="G534">
        <v>1</v>
      </c>
      <c r="H534">
        <v>1</v>
      </c>
      <c r="I534">
        <v>0.04</v>
      </c>
      <c r="J534">
        <v>0.13639999999999999</v>
      </c>
      <c r="K534">
        <v>0.49</v>
      </c>
      <c r="L534">
        <v>0.31319999999999998</v>
      </c>
      <c r="M534">
        <v>6</v>
      </c>
      <c r="N534">
        <v>171</v>
      </c>
      <c r="O534">
        <v>177</v>
      </c>
    </row>
    <row r="535" spans="1:15" x14ac:dyDescent="0.25">
      <c r="A535">
        <v>534</v>
      </c>
      <c r="B535" s="2">
        <v>40567</v>
      </c>
      <c r="C535">
        <v>1</v>
      </c>
      <c r="D535">
        <v>1</v>
      </c>
      <c r="E535">
        <v>9</v>
      </c>
      <c r="F535" t="b">
        <v>0</v>
      </c>
      <c r="G535">
        <v>1</v>
      </c>
      <c r="H535">
        <v>1</v>
      </c>
      <c r="I535">
        <v>0.06</v>
      </c>
      <c r="J535">
        <v>0.1515</v>
      </c>
      <c r="K535">
        <v>0.41</v>
      </c>
      <c r="L535">
        <v>0.28075</v>
      </c>
      <c r="M535">
        <v>4</v>
      </c>
      <c r="N535">
        <v>98</v>
      </c>
      <c r="O535">
        <v>102</v>
      </c>
    </row>
    <row r="536" spans="1:15" x14ac:dyDescent="0.25">
      <c r="A536">
        <v>535</v>
      </c>
      <c r="B536" s="2">
        <v>40567</v>
      </c>
      <c r="C536">
        <v>1</v>
      </c>
      <c r="D536">
        <v>1</v>
      </c>
      <c r="E536">
        <v>10</v>
      </c>
      <c r="F536" t="b">
        <v>0</v>
      </c>
      <c r="G536">
        <v>1</v>
      </c>
      <c r="H536">
        <v>1</v>
      </c>
      <c r="I536">
        <v>0.1</v>
      </c>
      <c r="J536">
        <v>0.13639999999999999</v>
      </c>
      <c r="K536">
        <v>0.42</v>
      </c>
      <c r="L536">
        <v>0.2782</v>
      </c>
      <c r="M536">
        <v>6</v>
      </c>
      <c r="N536">
        <v>34</v>
      </c>
      <c r="O536">
        <v>40</v>
      </c>
    </row>
    <row r="537" spans="1:15" x14ac:dyDescent="0.25">
      <c r="A537">
        <v>536</v>
      </c>
      <c r="B537" s="2">
        <v>40567</v>
      </c>
      <c r="C537">
        <v>1</v>
      </c>
      <c r="D537">
        <v>1</v>
      </c>
      <c r="E537">
        <v>11</v>
      </c>
      <c r="F537" t="b">
        <v>0</v>
      </c>
      <c r="G537">
        <v>1</v>
      </c>
      <c r="H537">
        <v>1</v>
      </c>
      <c r="I537">
        <v>0.1</v>
      </c>
      <c r="J537">
        <v>0.1212</v>
      </c>
      <c r="K537">
        <v>0.46</v>
      </c>
      <c r="L537">
        <v>0.1343</v>
      </c>
      <c r="M537">
        <v>3</v>
      </c>
      <c r="N537">
        <v>43</v>
      </c>
      <c r="O537">
        <v>46</v>
      </c>
    </row>
    <row r="538" spans="1:15" x14ac:dyDescent="0.25">
      <c r="A538">
        <v>537</v>
      </c>
      <c r="B538" s="2">
        <v>40567</v>
      </c>
      <c r="C538">
        <v>1</v>
      </c>
      <c r="D538">
        <v>1</v>
      </c>
      <c r="E538">
        <v>12</v>
      </c>
      <c r="F538" t="b">
        <v>0</v>
      </c>
      <c r="G538">
        <v>1</v>
      </c>
      <c r="H538">
        <v>2</v>
      </c>
      <c r="I538">
        <v>0.12</v>
      </c>
      <c r="J538">
        <v>0.13639999999999999</v>
      </c>
      <c r="K538">
        <v>0.42</v>
      </c>
      <c r="L538">
        <v>0.19400000000000001</v>
      </c>
      <c r="M538">
        <v>11</v>
      </c>
      <c r="N538">
        <v>52</v>
      </c>
      <c r="O538">
        <v>63</v>
      </c>
    </row>
    <row r="539" spans="1:15" x14ac:dyDescent="0.25">
      <c r="A539">
        <v>538</v>
      </c>
      <c r="B539" s="2">
        <v>40567</v>
      </c>
      <c r="C539">
        <v>1</v>
      </c>
      <c r="D539">
        <v>1</v>
      </c>
      <c r="E539">
        <v>13</v>
      </c>
      <c r="F539" t="b">
        <v>0</v>
      </c>
      <c r="G539">
        <v>1</v>
      </c>
      <c r="H539">
        <v>2</v>
      </c>
      <c r="I539">
        <v>0.14000000000000001</v>
      </c>
      <c r="J539">
        <v>0.13639999999999999</v>
      </c>
      <c r="K539">
        <v>0.43</v>
      </c>
      <c r="L539">
        <v>0.22389999999999999</v>
      </c>
      <c r="M539">
        <v>6</v>
      </c>
      <c r="N539">
        <v>54</v>
      </c>
      <c r="O539">
        <v>60</v>
      </c>
    </row>
    <row r="540" spans="1:15" x14ac:dyDescent="0.25">
      <c r="A540">
        <v>539</v>
      </c>
      <c r="B540" s="2">
        <v>40567</v>
      </c>
      <c r="C540">
        <v>1</v>
      </c>
      <c r="D540">
        <v>1</v>
      </c>
      <c r="E540">
        <v>14</v>
      </c>
      <c r="F540" t="b">
        <v>0</v>
      </c>
      <c r="G540">
        <v>1</v>
      </c>
      <c r="H540">
        <v>2</v>
      </c>
      <c r="I540">
        <v>0.14000000000000001</v>
      </c>
      <c r="J540">
        <v>0.13639999999999999</v>
      </c>
      <c r="K540">
        <v>0.46</v>
      </c>
      <c r="L540">
        <v>0.22389999999999999</v>
      </c>
      <c r="M540">
        <v>2</v>
      </c>
      <c r="N540">
        <v>43</v>
      </c>
      <c r="O540">
        <v>45</v>
      </c>
    </row>
    <row r="541" spans="1:15" x14ac:dyDescent="0.25">
      <c r="A541">
        <v>540</v>
      </c>
      <c r="B541" s="2">
        <v>40567</v>
      </c>
      <c r="C541">
        <v>1</v>
      </c>
      <c r="D541">
        <v>1</v>
      </c>
      <c r="E541">
        <v>15</v>
      </c>
      <c r="F541" t="b">
        <v>0</v>
      </c>
      <c r="G541">
        <v>1</v>
      </c>
      <c r="H541">
        <v>1</v>
      </c>
      <c r="I541">
        <v>0.16</v>
      </c>
      <c r="J541">
        <v>0.16669999999999999</v>
      </c>
      <c r="K541">
        <v>0.4</v>
      </c>
      <c r="L541">
        <v>0.16420000000000001</v>
      </c>
      <c r="M541">
        <v>7</v>
      </c>
      <c r="N541">
        <v>50</v>
      </c>
      <c r="O541">
        <v>57</v>
      </c>
    </row>
    <row r="542" spans="1:15" x14ac:dyDescent="0.25">
      <c r="A542">
        <v>541</v>
      </c>
      <c r="B542" s="2">
        <v>40567</v>
      </c>
      <c r="C542">
        <v>1</v>
      </c>
      <c r="D542">
        <v>1</v>
      </c>
      <c r="E542">
        <v>16</v>
      </c>
      <c r="F542" t="b">
        <v>0</v>
      </c>
      <c r="G542">
        <v>1</v>
      </c>
      <c r="H542">
        <v>1</v>
      </c>
      <c r="I542">
        <v>0.16</v>
      </c>
      <c r="J542">
        <v>0.1515</v>
      </c>
      <c r="K542">
        <v>0.47</v>
      </c>
      <c r="L542">
        <v>0.25369999999999998</v>
      </c>
      <c r="M542">
        <v>4</v>
      </c>
      <c r="N542">
        <v>66</v>
      </c>
      <c r="O542">
        <v>70</v>
      </c>
    </row>
    <row r="543" spans="1:15" x14ac:dyDescent="0.25">
      <c r="A543">
        <v>542</v>
      </c>
      <c r="B543" s="2">
        <v>40567</v>
      </c>
      <c r="C543">
        <v>1</v>
      </c>
      <c r="D543">
        <v>1</v>
      </c>
      <c r="E543">
        <v>17</v>
      </c>
      <c r="F543" t="b">
        <v>0</v>
      </c>
      <c r="G543">
        <v>1</v>
      </c>
      <c r="H543">
        <v>1</v>
      </c>
      <c r="I543">
        <v>0.14000000000000001</v>
      </c>
      <c r="J543">
        <v>0.1212</v>
      </c>
      <c r="K543">
        <v>0.5</v>
      </c>
      <c r="L543">
        <v>0.25369999999999998</v>
      </c>
      <c r="M543">
        <v>6</v>
      </c>
      <c r="N543">
        <v>178</v>
      </c>
      <c r="O543">
        <v>184</v>
      </c>
    </row>
    <row r="544" spans="1:15" x14ac:dyDescent="0.25">
      <c r="A544">
        <v>543</v>
      </c>
      <c r="B544" s="2">
        <v>40567</v>
      </c>
      <c r="C544">
        <v>1</v>
      </c>
      <c r="D544">
        <v>1</v>
      </c>
      <c r="E544">
        <v>18</v>
      </c>
      <c r="F544" t="b">
        <v>0</v>
      </c>
      <c r="G544">
        <v>1</v>
      </c>
      <c r="H544">
        <v>1</v>
      </c>
      <c r="I544">
        <v>0.14000000000000001</v>
      </c>
      <c r="J544">
        <v>0.13639999999999999</v>
      </c>
      <c r="K544">
        <v>0.59</v>
      </c>
      <c r="L544">
        <v>0.19400000000000001</v>
      </c>
      <c r="M544">
        <v>8</v>
      </c>
      <c r="N544">
        <v>145</v>
      </c>
      <c r="O544">
        <v>153</v>
      </c>
    </row>
    <row r="545" spans="1:15" x14ac:dyDescent="0.25">
      <c r="A545">
        <v>544</v>
      </c>
      <c r="B545" s="2">
        <v>40567</v>
      </c>
      <c r="C545">
        <v>1</v>
      </c>
      <c r="D545">
        <v>1</v>
      </c>
      <c r="E545">
        <v>19</v>
      </c>
      <c r="F545" t="b">
        <v>0</v>
      </c>
      <c r="G545">
        <v>1</v>
      </c>
      <c r="H545">
        <v>1</v>
      </c>
      <c r="I545">
        <v>0.14000000000000001</v>
      </c>
      <c r="J545">
        <v>0.1515</v>
      </c>
      <c r="K545">
        <v>0.54</v>
      </c>
      <c r="L545">
        <v>0.16420000000000001</v>
      </c>
      <c r="M545">
        <v>5</v>
      </c>
      <c r="N545">
        <v>101</v>
      </c>
      <c r="O545">
        <v>106</v>
      </c>
    </row>
    <row r="546" spans="1:15" x14ac:dyDescent="0.25">
      <c r="A546">
        <v>545</v>
      </c>
      <c r="B546" s="2">
        <v>40567</v>
      </c>
      <c r="C546">
        <v>1</v>
      </c>
      <c r="D546">
        <v>1</v>
      </c>
      <c r="E546">
        <v>20</v>
      </c>
      <c r="F546" t="b">
        <v>0</v>
      </c>
      <c r="G546">
        <v>1</v>
      </c>
      <c r="H546">
        <v>1</v>
      </c>
      <c r="I546">
        <v>0.14000000000000001</v>
      </c>
      <c r="J546">
        <v>0.13639999999999999</v>
      </c>
      <c r="K546">
        <v>0.59</v>
      </c>
      <c r="L546">
        <v>0.19400000000000001</v>
      </c>
      <c r="M546">
        <v>1</v>
      </c>
      <c r="N546">
        <v>80</v>
      </c>
      <c r="O546">
        <v>81</v>
      </c>
    </row>
    <row r="547" spans="1:15" x14ac:dyDescent="0.25">
      <c r="A547">
        <v>546</v>
      </c>
      <c r="B547" s="2">
        <v>40567</v>
      </c>
      <c r="C547">
        <v>1</v>
      </c>
      <c r="D547">
        <v>1</v>
      </c>
      <c r="E547">
        <v>21</v>
      </c>
      <c r="F547" t="b">
        <v>0</v>
      </c>
      <c r="G547">
        <v>1</v>
      </c>
      <c r="H547">
        <v>1</v>
      </c>
      <c r="I547">
        <v>0.14000000000000001</v>
      </c>
      <c r="J547">
        <v>0.1515</v>
      </c>
      <c r="K547">
        <v>0.63</v>
      </c>
      <c r="L547">
        <v>0.16420000000000001</v>
      </c>
      <c r="M547">
        <v>6</v>
      </c>
      <c r="N547">
        <v>53</v>
      </c>
      <c r="O547">
        <v>59</v>
      </c>
    </row>
    <row r="548" spans="1:15" x14ac:dyDescent="0.25">
      <c r="A548">
        <v>547</v>
      </c>
      <c r="B548" s="2">
        <v>40567</v>
      </c>
      <c r="C548">
        <v>1</v>
      </c>
      <c r="D548">
        <v>1</v>
      </c>
      <c r="E548">
        <v>22</v>
      </c>
      <c r="F548" t="b">
        <v>0</v>
      </c>
      <c r="G548">
        <v>1</v>
      </c>
      <c r="H548">
        <v>2</v>
      </c>
      <c r="I548">
        <v>0.14000000000000001</v>
      </c>
      <c r="J548">
        <v>0.13639999999999999</v>
      </c>
      <c r="K548">
        <v>0.63</v>
      </c>
      <c r="L548">
        <v>0.22389999999999999</v>
      </c>
      <c r="M548">
        <v>3</v>
      </c>
      <c r="N548">
        <v>32</v>
      </c>
      <c r="O548">
        <v>35</v>
      </c>
    </row>
    <row r="549" spans="1:15" x14ac:dyDescent="0.25">
      <c r="A549">
        <v>548</v>
      </c>
      <c r="B549" s="2">
        <v>40567</v>
      </c>
      <c r="C549">
        <v>1</v>
      </c>
      <c r="D549">
        <v>1</v>
      </c>
      <c r="E549">
        <v>23</v>
      </c>
      <c r="F549" t="b">
        <v>0</v>
      </c>
      <c r="G549">
        <v>1</v>
      </c>
      <c r="H549">
        <v>2</v>
      </c>
      <c r="I549">
        <v>0.16</v>
      </c>
      <c r="J549">
        <v>0.1515</v>
      </c>
      <c r="K549">
        <v>0.64</v>
      </c>
      <c r="L549">
        <v>0.25369999999999998</v>
      </c>
      <c r="M549">
        <v>3</v>
      </c>
      <c r="N549">
        <v>21</v>
      </c>
      <c r="O549">
        <v>24</v>
      </c>
    </row>
    <row r="550" spans="1:15" x14ac:dyDescent="0.25">
      <c r="A550">
        <v>549</v>
      </c>
      <c r="B550" s="2">
        <v>40568</v>
      </c>
      <c r="C550">
        <v>1</v>
      </c>
      <c r="D550">
        <v>1</v>
      </c>
      <c r="E550">
        <v>0</v>
      </c>
      <c r="F550" t="b">
        <v>0</v>
      </c>
      <c r="G550">
        <v>2</v>
      </c>
      <c r="H550">
        <v>2</v>
      </c>
      <c r="I550">
        <v>0.16</v>
      </c>
      <c r="J550">
        <v>0.13639999999999999</v>
      </c>
      <c r="K550">
        <v>0.69</v>
      </c>
      <c r="L550">
        <v>0.28360000000000002</v>
      </c>
      <c r="M550">
        <v>3</v>
      </c>
      <c r="N550">
        <v>6</v>
      </c>
      <c r="O550">
        <v>9</v>
      </c>
    </row>
    <row r="551" spans="1:15" x14ac:dyDescent="0.25">
      <c r="A551">
        <v>550</v>
      </c>
      <c r="B551" s="2">
        <v>40568</v>
      </c>
      <c r="C551">
        <v>1</v>
      </c>
      <c r="D551">
        <v>1</v>
      </c>
      <c r="E551">
        <v>1</v>
      </c>
      <c r="F551" t="b">
        <v>0</v>
      </c>
      <c r="G551">
        <v>2</v>
      </c>
      <c r="H551">
        <v>2</v>
      </c>
      <c r="I551">
        <v>0.16</v>
      </c>
      <c r="J551">
        <v>0.16669999999999999</v>
      </c>
      <c r="K551">
        <v>0.69</v>
      </c>
      <c r="L551">
        <v>0.16420000000000001</v>
      </c>
      <c r="M551">
        <v>0</v>
      </c>
      <c r="N551">
        <v>5</v>
      </c>
      <c r="O551">
        <v>5</v>
      </c>
    </row>
    <row r="552" spans="1:15" x14ac:dyDescent="0.25">
      <c r="A552">
        <v>551</v>
      </c>
      <c r="B552" s="2">
        <v>40568</v>
      </c>
      <c r="C552">
        <v>1</v>
      </c>
      <c r="D552">
        <v>1</v>
      </c>
      <c r="E552">
        <v>2</v>
      </c>
      <c r="F552" t="b">
        <v>0</v>
      </c>
      <c r="G552">
        <v>2</v>
      </c>
      <c r="H552">
        <v>1</v>
      </c>
      <c r="I552">
        <v>0.16</v>
      </c>
      <c r="J552">
        <v>0.1515</v>
      </c>
      <c r="K552">
        <v>0.69</v>
      </c>
      <c r="L552">
        <v>0.22389999999999999</v>
      </c>
      <c r="M552">
        <v>0</v>
      </c>
      <c r="N552">
        <v>2</v>
      </c>
      <c r="O552">
        <v>2</v>
      </c>
    </row>
    <row r="553" spans="1:15" x14ac:dyDescent="0.25">
      <c r="A553">
        <v>552</v>
      </c>
      <c r="B553" s="2">
        <v>40568</v>
      </c>
      <c r="C553">
        <v>1</v>
      </c>
      <c r="D553">
        <v>1</v>
      </c>
      <c r="E553">
        <v>4</v>
      </c>
      <c r="F553" t="b">
        <v>0</v>
      </c>
      <c r="G553">
        <v>2</v>
      </c>
      <c r="H553">
        <v>1</v>
      </c>
      <c r="I553">
        <v>0.14000000000000001</v>
      </c>
      <c r="J553">
        <v>0.16669999999999999</v>
      </c>
      <c r="K553">
        <v>0.74</v>
      </c>
      <c r="L553">
        <v>0.1045</v>
      </c>
      <c r="M553">
        <v>0</v>
      </c>
      <c r="N553">
        <v>1</v>
      </c>
      <c r="O553">
        <v>1</v>
      </c>
    </row>
    <row r="554" spans="1:15" x14ac:dyDescent="0.25">
      <c r="A554">
        <v>553</v>
      </c>
      <c r="B554" s="2">
        <v>40568</v>
      </c>
      <c r="C554">
        <v>1</v>
      </c>
      <c r="D554">
        <v>1</v>
      </c>
      <c r="E554">
        <v>5</v>
      </c>
      <c r="F554" t="b">
        <v>0</v>
      </c>
      <c r="G554">
        <v>2</v>
      </c>
      <c r="H554">
        <v>1</v>
      </c>
      <c r="I554">
        <v>0.14000000000000001</v>
      </c>
      <c r="J554">
        <v>0.13639999999999999</v>
      </c>
      <c r="K554">
        <v>0.74</v>
      </c>
      <c r="L554">
        <v>0.22389999999999999</v>
      </c>
      <c r="M554">
        <v>0</v>
      </c>
      <c r="N554">
        <v>9</v>
      </c>
      <c r="O554">
        <v>9</v>
      </c>
    </row>
    <row r="555" spans="1:15" x14ac:dyDescent="0.25">
      <c r="A555">
        <v>554</v>
      </c>
      <c r="B555" s="2">
        <v>40568</v>
      </c>
      <c r="C555">
        <v>1</v>
      </c>
      <c r="D555">
        <v>1</v>
      </c>
      <c r="E555">
        <v>6</v>
      </c>
      <c r="F555" t="b">
        <v>0</v>
      </c>
      <c r="G555">
        <v>2</v>
      </c>
      <c r="H555">
        <v>1</v>
      </c>
      <c r="I555">
        <v>0.16</v>
      </c>
      <c r="J555">
        <v>0.18179999999999999</v>
      </c>
      <c r="K555">
        <v>0.74</v>
      </c>
      <c r="L555">
        <v>0.1045</v>
      </c>
      <c r="M555">
        <v>1</v>
      </c>
      <c r="N555">
        <v>35</v>
      </c>
      <c r="O555">
        <v>36</v>
      </c>
    </row>
    <row r="556" spans="1:15" x14ac:dyDescent="0.25">
      <c r="A556">
        <v>555</v>
      </c>
      <c r="B556" s="2">
        <v>40568</v>
      </c>
      <c r="C556">
        <v>1</v>
      </c>
      <c r="D556">
        <v>1</v>
      </c>
      <c r="E556">
        <v>7</v>
      </c>
      <c r="F556" t="b">
        <v>0</v>
      </c>
      <c r="G556">
        <v>2</v>
      </c>
      <c r="H556">
        <v>1</v>
      </c>
      <c r="I556">
        <v>0.16</v>
      </c>
      <c r="J556">
        <v>0.1515</v>
      </c>
      <c r="K556">
        <v>0.74</v>
      </c>
      <c r="L556">
        <v>0.22389999999999999</v>
      </c>
      <c r="M556">
        <v>5</v>
      </c>
      <c r="N556">
        <v>103</v>
      </c>
      <c r="O556">
        <v>108</v>
      </c>
    </row>
    <row r="557" spans="1:15" x14ac:dyDescent="0.25">
      <c r="A557">
        <v>556</v>
      </c>
      <c r="B557" s="2">
        <v>40568</v>
      </c>
      <c r="C557">
        <v>1</v>
      </c>
      <c r="D557">
        <v>1</v>
      </c>
      <c r="E557">
        <v>8</v>
      </c>
      <c r="F557" t="b">
        <v>0</v>
      </c>
      <c r="G557">
        <v>2</v>
      </c>
      <c r="H557">
        <v>2</v>
      </c>
      <c r="I557">
        <v>0.16</v>
      </c>
      <c r="J557">
        <v>0.18179999999999999</v>
      </c>
      <c r="K557">
        <v>0.74</v>
      </c>
      <c r="L557">
        <v>0.1343</v>
      </c>
      <c r="M557">
        <v>5</v>
      </c>
      <c r="N557">
        <v>233</v>
      </c>
      <c r="O557">
        <v>238</v>
      </c>
    </row>
    <row r="558" spans="1:15" x14ac:dyDescent="0.25">
      <c r="A558">
        <v>557</v>
      </c>
      <c r="B558" s="2">
        <v>40568</v>
      </c>
      <c r="C558">
        <v>1</v>
      </c>
      <c r="D558">
        <v>1</v>
      </c>
      <c r="E558">
        <v>9</v>
      </c>
      <c r="F558" t="b">
        <v>0</v>
      </c>
      <c r="G558">
        <v>2</v>
      </c>
      <c r="H558">
        <v>2</v>
      </c>
      <c r="I558">
        <v>0.2</v>
      </c>
      <c r="J558">
        <v>0.2273</v>
      </c>
      <c r="K558">
        <v>0.64</v>
      </c>
      <c r="L558">
        <v>8.9599999999999999E-2</v>
      </c>
      <c r="M558">
        <v>10</v>
      </c>
      <c r="N558">
        <v>134</v>
      </c>
      <c r="O558">
        <v>144</v>
      </c>
    </row>
    <row r="559" spans="1:15" x14ac:dyDescent="0.25">
      <c r="A559">
        <v>558</v>
      </c>
      <c r="B559" s="2">
        <v>40568</v>
      </c>
      <c r="C559">
        <v>1</v>
      </c>
      <c r="D559">
        <v>1</v>
      </c>
      <c r="E559">
        <v>10</v>
      </c>
      <c r="F559" t="b">
        <v>0</v>
      </c>
      <c r="G559">
        <v>2</v>
      </c>
      <c r="H559">
        <v>2</v>
      </c>
      <c r="I559">
        <v>0.22</v>
      </c>
      <c r="J559">
        <v>0.2424</v>
      </c>
      <c r="K559">
        <v>0.6</v>
      </c>
      <c r="L559">
        <v>0.1045</v>
      </c>
      <c r="M559">
        <v>6</v>
      </c>
      <c r="N559">
        <v>49</v>
      </c>
      <c r="O559">
        <v>55</v>
      </c>
    </row>
    <row r="560" spans="1:15" x14ac:dyDescent="0.25">
      <c r="A560">
        <v>559</v>
      </c>
      <c r="B560" s="2">
        <v>40568</v>
      </c>
      <c r="C560">
        <v>1</v>
      </c>
      <c r="D560">
        <v>1</v>
      </c>
      <c r="E560">
        <v>11</v>
      </c>
      <c r="F560" t="b">
        <v>0</v>
      </c>
      <c r="G560">
        <v>2</v>
      </c>
      <c r="H560">
        <v>2</v>
      </c>
      <c r="I560">
        <v>0.24</v>
      </c>
      <c r="J560">
        <v>0.2424</v>
      </c>
      <c r="K560">
        <v>0.6</v>
      </c>
      <c r="L560">
        <v>0.1343</v>
      </c>
      <c r="M560">
        <v>6</v>
      </c>
      <c r="N560">
        <v>55</v>
      </c>
      <c r="O560">
        <v>61</v>
      </c>
    </row>
    <row r="561" spans="1:15" x14ac:dyDescent="0.25">
      <c r="A561">
        <v>560</v>
      </c>
      <c r="B561" s="2">
        <v>40568</v>
      </c>
      <c r="C561">
        <v>1</v>
      </c>
      <c r="D561">
        <v>1</v>
      </c>
      <c r="E561">
        <v>12</v>
      </c>
      <c r="F561" t="b">
        <v>0</v>
      </c>
      <c r="G561">
        <v>2</v>
      </c>
      <c r="H561">
        <v>2</v>
      </c>
      <c r="I561">
        <v>0.26</v>
      </c>
      <c r="J561">
        <v>0.28789999999999999</v>
      </c>
      <c r="K561">
        <v>0.56000000000000005</v>
      </c>
      <c r="L561">
        <v>8.9599999999999999E-2</v>
      </c>
      <c r="M561">
        <v>21</v>
      </c>
      <c r="N561">
        <v>85</v>
      </c>
      <c r="O561">
        <v>106</v>
      </c>
    </row>
    <row r="562" spans="1:15" x14ac:dyDescent="0.25">
      <c r="A562">
        <v>561</v>
      </c>
      <c r="B562" s="2">
        <v>40568</v>
      </c>
      <c r="C562">
        <v>1</v>
      </c>
      <c r="D562">
        <v>1</v>
      </c>
      <c r="E562">
        <v>13</v>
      </c>
      <c r="F562" t="b">
        <v>0</v>
      </c>
      <c r="G562">
        <v>2</v>
      </c>
      <c r="H562">
        <v>2</v>
      </c>
      <c r="I562">
        <v>0.26</v>
      </c>
      <c r="J562">
        <v>0.2727</v>
      </c>
      <c r="K562">
        <v>0.56000000000000005</v>
      </c>
      <c r="L562">
        <v>0.1343</v>
      </c>
      <c r="M562">
        <v>21</v>
      </c>
      <c r="N562">
        <v>72</v>
      </c>
      <c r="O562">
        <v>93</v>
      </c>
    </row>
    <row r="563" spans="1:15" x14ac:dyDescent="0.25">
      <c r="A563">
        <v>562</v>
      </c>
      <c r="B563" s="2">
        <v>40568</v>
      </c>
      <c r="C563">
        <v>1</v>
      </c>
      <c r="D563">
        <v>1</v>
      </c>
      <c r="E563">
        <v>14</v>
      </c>
      <c r="F563" t="b">
        <v>0</v>
      </c>
      <c r="G563">
        <v>2</v>
      </c>
      <c r="H563">
        <v>2</v>
      </c>
      <c r="I563">
        <v>0.3</v>
      </c>
      <c r="J563">
        <v>0.33329999999999999</v>
      </c>
      <c r="K563">
        <v>0.45</v>
      </c>
      <c r="L563">
        <v>0.39165</v>
      </c>
      <c r="M563">
        <v>11</v>
      </c>
      <c r="N563">
        <v>57</v>
      </c>
      <c r="O563">
        <v>68</v>
      </c>
    </row>
    <row r="564" spans="1:15" x14ac:dyDescent="0.25">
      <c r="A564">
        <v>563</v>
      </c>
      <c r="B564" s="2">
        <v>40568</v>
      </c>
      <c r="C564">
        <v>1</v>
      </c>
      <c r="D564">
        <v>1</v>
      </c>
      <c r="E564">
        <v>15</v>
      </c>
      <c r="F564" t="b">
        <v>0</v>
      </c>
      <c r="G564">
        <v>2</v>
      </c>
      <c r="H564">
        <v>2</v>
      </c>
      <c r="I564">
        <v>0.32</v>
      </c>
      <c r="J564">
        <v>0.34849999999999998</v>
      </c>
      <c r="K564">
        <v>0.42</v>
      </c>
      <c r="L564">
        <v>0.38424999999999998</v>
      </c>
      <c r="M564">
        <v>21</v>
      </c>
      <c r="N564">
        <v>63</v>
      </c>
      <c r="O564">
        <v>84</v>
      </c>
    </row>
    <row r="565" spans="1:15" x14ac:dyDescent="0.25">
      <c r="A565">
        <v>564</v>
      </c>
      <c r="B565" s="2">
        <v>40568</v>
      </c>
      <c r="C565">
        <v>1</v>
      </c>
      <c r="D565">
        <v>1</v>
      </c>
      <c r="E565">
        <v>16</v>
      </c>
      <c r="F565" t="b">
        <v>0</v>
      </c>
      <c r="G565">
        <v>2</v>
      </c>
      <c r="H565">
        <v>2</v>
      </c>
      <c r="I565">
        <v>0.32</v>
      </c>
      <c r="J565">
        <v>0.34849999999999998</v>
      </c>
      <c r="K565">
        <v>0.42</v>
      </c>
      <c r="L565">
        <v>0.38424999999999998</v>
      </c>
      <c r="M565">
        <v>14</v>
      </c>
      <c r="N565">
        <v>102</v>
      </c>
      <c r="O565">
        <v>116</v>
      </c>
    </row>
    <row r="566" spans="1:15" x14ac:dyDescent="0.25">
      <c r="A566">
        <v>565</v>
      </c>
      <c r="B566" s="2">
        <v>40568</v>
      </c>
      <c r="C566">
        <v>1</v>
      </c>
      <c r="D566">
        <v>1</v>
      </c>
      <c r="E566">
        <v>17</v>
      </c>
      <c r="F566" t="b">
        <v>0</v>
      </c>
      <c r="G566">
        <v>2</v>
      </c>
      <c r="H566">
        <v>1</v>
      </c>
      <c r="I566">
        <v>0.3</v>
      </c>
      <c r="J566">
        <v>0.33329999999999999</v>
      </c>
      <c r="K566">
        <v>0.45</v>
      </c>
      <c r="L566">
        <v>0.39165</v>
      </c>
      <c r="M566">
        <v>14</v>
      </c>
      <c r="N566">
        <v>208</v>
      </c>
      <c r="O566">
        <v>222</v>
      </c>
    </row>
    <row r="567" spans="1:15" x14ac:dyDescent="0.25">
      <c r="A567">
        <v>566</v>
      </c>
      <c r="B567" s="2">
        <v>40568</v>
      </c>
      <c r="C567">
        <v>1</v>
      </c>
      <c r="D567">
        <v>1</v>
      </c>
      <c r="E567">
        <v>18</v>
      </c>
      <c r="F567" t="b">
        <v>0</v>
      </c>
      <c r="G567">
        <v>2</v>
      </c>
      <c r="H567">
        <v>2</v>
      </c>
      <c r="I567">
        <v>0.3</v>
      </c>
      <c r="J567">
        <v>0.31819999999999998</v>
      </c>
      <c r="K567">
        <v>0.49</v>
      </c>
      <c r="L567">
        <v>8.9599999999999999E-2</v>
      </c>
      <c r="M567">
        <v>7</v>
      </c>
      <c r="N567">
        <v>218</v>
      </c>
      <c r="O567">
        <v>225</v>
      </c>
    </row>
    <row r="568" spans="1:15" x14ac:dyDescent="0.25">
      <c r="A568">
        <v>567</v>
      </c>
      <c r="B568" s="2">
        <v>40568</v>
      </c>
      <c r="C568">
        <v>1</v>
      </c>
      <c r="D568">
        <v>1</v>
      </c>
      <c r="E568">
        <v>19</v>
      </c>
      <c r="F568" t="b">
        <v>0</v>
      </c>
      <c r="G568">
        <v>2</v>
      </c>
      <c r="H568">
        <v>2</v>
      </c>
      <c r="I568">
        <v>0.26</v>
      </c>
      <c r="J568">
        <v>0.2576</v>
      </c>
      <c r="K568">
        <v>0.65</v>
      </c>
      <c r="L568">
        <v>0.16420000000000001</v>
      </c>
      <c r="M568">
        <v>13</v>
      </c>
      <c r="N568">
        <v>133</v>
      </c>
      <c r="O568">
        <v>146</v>
      </c>
    </row>
    <row r="569" spans="1:15" x14ac:dyDescent="0.25">
      <c r="A569">
        <v>568</v>
      </c>
      <c r="B569" s="2">
        <v>40568</v>
      </c>
      <c r="C569">
        <v>1</v>
      </c>
      <c r="D569">
        <v>1</v>
      </c>
      <c r="E569">
        <v>20</v>
      </c>
      <c r="F569" t="b">
        <v>0</v>
      </c>
      <c r="G569">
        <v>2</v>
      </c>
      <c r="H569">
        <v>1</v>
      </c>
      <c r="I569">
        <v>0.24</v>
      </c>
      <c r="J569">
        <v>0.2273</v>
      </c>
      <c r="K569">
        <v>0.65</v>
      </c>
      <c r="L569">
        <v>0.19400000000000001</v>
      </c>
      <c r="M569">
        <v>16</v>
      </c>
      <c r="N569">
        <v>103</v>
      </c>
      <c r="O569">
        <v>119</v>
      </c>
    </row>
    <row r="570" spans="1:15" x14ac:dyDescent="0.25">
      <c r="A570">
        <v>569</v>
      </c>
      <c r="B570" s="2">
        <v>40568</v>
      </c>
      <c r="C570">
        <v>1</v>
      </c>
      <c r="D570">
        <v>1</v>
      </c>
      <c r="E570">
        <v>21</v>
      </c>
      <c r="F570" t="b">
        <v>0</v>
      </c>
      <c r="G570">
        <v>2</v>
      </c>
      <c r="H570">
        <v>1</v>
      </c>
      <c r="I570">
        <v>0.24</v>
      </c>
      <c r="J570">
        <v>0.2273</v>
      </c>
      <c r="K570">
        <v>0.65</v>
      </c>
      <c r="L570">
        <v>0.19400000000000001</v>
      </c>
      <c r="M570">
        <v>5</v>
      </c>
      <c r="N570">
        <v>40</v>
      </c>
      <c r="O570">
        <v>45</v>
      </c>
    </row>
    <row r="571" spans="1:15" x14ac:dyDescent="0.25">
      <c r="A571">
        <v>570</v>
      </c>
      <c r="B571" s="2">
        <v>40568</v>
      </c>
      <c r="C571">
        <v>1</v>
      </c>
      <c r="D571">
        <v>1</v>
      </c>
      <c r="E571">
        <v>22</v>
      </c>
      <c r="F571" t="b">
        <v>0</v>
      </c>
      <c r="G571">
        <v>2</v>
      </c>
      <c r="H571">
        <v>1</v>
      </c>
      <c r="I571">
        <v>0.22</v>
      </c>
      <c r="J571">
        <v>0.2273</v>
      </c>
      <c r="K571">
        <v>0.64</v>
      </c>
      <c r="L571">
        <v>0.16420000000000001</v>
      </c>
      <c r="M571">
        <v>4</v>
      </c>
      <c r="N571">
        <v>49</v>
      </c>
      <c r="O571">
        <v>53</v>
      </c>
    </row>
    <row r="572" spans="1:15" x14ac:dyDescent="0.25">
      <c r="A572">
        <v>571</v>
      </c>
      <c r="B572" s="2">
        <v>40568</v>
      </c>
      <c r="C572">
        <v>1</v>
      </c>
      <c r="D572">
        <v>1</v>
      </c>
      <c r="E572">
        <v>23</v>
      </c>
      <c r="F572" t="b">
        <v>0</v>
      </c>
      <c r="G572">
        <v>2</v>
      </c>
      <c r="H572">
        <v>2</v>
      </c>
      <c r="I572">
        <v>0.22</v>
      </c>
      <c r="J572">
        <v>0.2273</v>
      </c>
      <c r="K572">
        <v>0.64</v>
      </c>
      <c r="L572">
        <v>0.16420000000000001</v>
      </c>
      <c r="M572">
        <v>3</v>
      </c>
      <c r="N572">
        <v>37</v>
      </c>
      <c r="O572">
        <v>40</v>
      </c>
    </row>
    <row r="573" spans="1:15" x14ac:dyDescent="0.25">
      <c r="A573">
        <v>572</v>
      </c>
      <c r="B573" s="2">
        <v>40569</v>
      </c>
      <c r="C573">
        <v>1</v>
      </c>
      <c r="D573">
        <v>1</v>
      </c>
      <c r="E573">
        <v>0</v>
      </c>
      <c r="F573" t="b">
        <v>0</v>
      </c>
      <c r="G573">
        <v>3</v>
      </c>
      <c r="H573">
        <v>2</v>
      </c>
      <c r="I573">
        <v>0.22</v>
      </c>
      <c r="J573">
        <v>0.2273</v>
      </c>
      <c r="K573">
        <v>0.69</v>
      </c>
      <c r="L573">
        <v>0.1343</v>
      </c>
      <c r="M573">
        <v>3</v>
      </c>
      <c r="N573">
        <v>14</v>
      </c>
      <c r="O573">
        <v>17</v>
      </c>
    </row>
    <row r="574" spans="1:15" x14ac:dyDescent="0.25">
      <c r="A574">
        <v>573</v>
      </c>
      <c r="B574" s="2">
        <v>40569</v>
      </c>
      <c r="C574">
        <v>1</v>
      </c>
      <c r="D574">
        <v>1</v>
      </c>
      <c r="E574">
        <v>1</v>
      </c>
      <c r="F574" t="b">
        <v>0</v>
      </c>
      <c r="G574">
        <v>3</v>
      </c>
      <c r="H574">
        <v>2</v>
      </c>
      <c r="I574">
        <v>0.24</v>
      </c>
      <c r="J574">
        <v>0.2424</v>
      </c>
      <c r="K574">
        <v>0.65</v>
      </c>
      <c r="L574">
        <v>0.1343</v>
      </c>
      <c r="M574">
        <v>0</v>
      </c>
      <c r="N574">
        <v>5</v>
      </c>
      <c r="O574">
        <v>5</v>
      </c>
    </row>
    <row r="575" spans="1:15" x14ac:dyDescent="0.25">
      <c r="A575">
        <v>574</v>
      </c>
      <c r="B575" s="2">
        <v>40569</v>
      </c>
      <c r="C575">
        <v>1</v>
      </c>
      <c r="D575">
        <v>1</v>
      </c>
      <c r="E575">
        <v>2</v>
      </c>
      <c r="F575" t="b">
        <v>0</v>
      </c>
      <c r="G575">
        <v>3</v>
      </c>
      <c r="H575">
        <v>3</v>
      </c>
      <c r="I575">
        <v>0.22</v>
      </c>
      <c r="J575">
        <v>0.2273</v>
      </c>
      <c r="K575">
        <v>0.69</v>
      </c>
      <c r="L575">
        <v>0.19400000000000001</v>
      </c>
      <c r="M575">
        <v>3</v>
      </c>
      <c r="N575">
        <v>7</v>
      </c>
      <c r="O575">
        <v>10</v>
      </c>
    </row>
    <row r="576" spans="1:15" x14ac:dyDescent="0.25">
      <c r="A576">
        <v>575</v>
      </c>
      <c r="B576" s="2">
        <v>40569</v>
      </c>
      <c r="C576">
        <v>1</v>
      </c>
      <c r="D576">
        <v>1</v>
      </c>
      <c r="E576">
        <v>5</v>
      </c>
      <c r="F576" t="b">
        <v>0</v>
      </c>
      <c r="G576">
        <v>3</v>
      </c>
      <c r="H576">
        <v>3</v>
      </c>
      <c r="I576">
        <v>0.2</v>
      </c>
      <c r="J576">
        <v>0.18179999999999999</v>
      </c>
      <c r="K576">
        <v>0.86</v>
      </c>
      <c r="L576">
        <v>0.28360000000000002</v>
      </c>
      <c r="M576">
        <v>0</v>
      </c>
      <c r="N576">
        <v>1</v>
      </c>
      <c r="O576">
        <v>1</v>
      </c>
    </row>
    <row r="577" spans="1:15" x14ac:dyDescent="0.25">
      <c r="A577">
        <v>576</v>
      </c>
      <c r="B577" s="2">
        <v>40569</v>
      </c>
      <c r="C577">
        <v>1</v>
      </c>
      <c r="D577">
        <v>1</v>
      </c>
      <c r="E577">
        <v>6</v>
      </c>
      <c r="F577" t="b">
        <v>0</v>
      </c>
      <c r="G577">
        <v>3</v>
      </c>
      <c r="H577">
        <v>3</v>
      </c>
      <c r="I577">
        <v>0.2</v>
      </c>
      <c r="J577">
        <v>0.18179999999999999</v>
      </c>
      <c r="K577">
        <v>0.86</v>
      </c>
      <c r="L577">
        <v>0.28360000000000002</v>
      </c>
      <c r="M577">
        <v>0</v>
      </c>
      <c r="N577">
        <v>8</v>
      </c>
      <c r="O577">
        <v>8</v>
      </c>
    </row>
    <row r="578" spans="1:15" x14ac:dyDescent="0.25">
      <c r="A578">
        <v>577</v>
      </c>
      <c r="B578" s="2">
        <v>40569</v>
      </c>
      <c r="C578">
        <v>1</v>
      </c>
      <c r="D578">
        <v>1</v>
      </c>
      <c r="E578">
        <v>7</v>
      </c>
      <c r="F578" t="b">
        <v>0</v>
      </c>
      <c r="G578">
        <v>3</v>
      </c>
      <c r="H578">
        <v>3</v>
      </c>
      <c r="I578">
        <v>0.22</v>
      </c>
      <c r="J578">
        <v>0.21210000000000001</v>
      </c>
      <c r="K578">
        <v>0.87</v>
      </c>
      <c r="L578">
        <v>0.29849999999999999</v>
      </c>
      <c r="M578">
        <v>1</v>
      </c>
      <c r="N578">
        <v>29</v>
      </c>
      <c r="O578">
        <v>30</v>
      </c>
    </row>
    <row r="579" spans="1:15" x14ac:dyDescent="0.25">
      <c r="A579">
        <v>578</v>
      </c>
      <c r="B579" s="2">
        <v>40569</v>
      </c>
      <c r="C579">
        <v>1</v>
      </c>
      <c r="D579">
        <v>1</v>
      </c>
      <c r="E579">
        <v>8</v>
      </c>
      <c r="F579" t="b">
        <v>0</v>
      </c>
      <c r="G579">
        <v>3</v>
      </c>
      <c r="H579">
        <v>3</v>
      </c>
      <c r="I579">
        <v>0.22</v>
      </c>
      <c r="J579">
        <v>0.21210000000000001</v>
      </c>
      <c r="K579">
        <v>0.87</v>
      </c>
      <c r="L579">
        <v>0.29849999999999999</v>
      </c>
      <c r="M579">
        <v>3</v>
      </c>
      <c r="N579">
        <v>69</v>
      </c>
      <c r="O579">
        <v>72</v>
      </c>
    </row>
    <row r="580" spans="1:15" x14ac:dyDescent="0.25">
      <c r="A580">
        <v>579</v>
      </c>
      <c r="B580" s="2">
        <v>40569</v>
      </c>
      <c r="C580">
        <v>1</v>
      </c>
      <c r="D580">
        <v>1</v>
      </c>
      <c r="E580">
        <v>9</v>
      </c>
      <c r="F580" t="b">
        <v>0</v>
      </c>
      <c r="G580">
        <v>3</v>
      </c>
      <c r="H580">
        <v>3</v>
      </c>
      <c r="I580">
        <v>0.22</v>
      </c>
      <c r="J580">
        <v>0.21210000000000001</v>
      </c>
      <c r="K580">
        <v>0.87</v>
      </c>
      <c r="L580">
        <v>0.29849999999999999</v>
      </c>
      <c r="M580">
        <v>3</v>
      </c>
      <c r="N580">
        <v>55</v>
      </c>
      <c r="O580">
        <v>58</v>
      </c>
    </row>
    <row r="581" spans="1:15" x14ac:dyDescent="0.25">
      <c r="A581">
        <v>580</v>
      </c>
      <c r="B581" s="2">
        <v>40569</v>
      </c>
      <c r="C581">
        <v>1</v>
      </c>
      <c r="D581">
        <v>1</v>
      </c>
      <c r="E581">
        <v>10</v>
      </c>
      <c r="F581" t="b">
        <v>0</v>
      </c>
      <c r="G581">
        <v>3</v>
      </c>
      <c r="H581">
        <v>3</v>
      </c>
      <c r="I581">
        <v>0.22</v>
      </c>
      <c r="J581">
        <v>0.21210000000000001</v>
      </c>
      <c r="K581">
        <v>0.93</v>
      </c>
      <c r="L581">
        <v>0.28360000000000002</v>
      </c>
      <c r="M581">
        <v>2</v>
      </c>
      <c r="N581">
        <v>26</v>
      </c>
      <c r="O581">
        <v>28</v>
      </c>
    </row>
    <row r="582" spans="1:15" x14ac:dyDescent="0.25">
      <c r="A582">
        <v>581</v>
      </c>
      <c r="B582" s="2">
        <v>40569</v>
      </c>
      <c r="C582">
        <v>1</v>
      </c>
      <c r="D582">
        <v>1</v>
      </c>
      <c r="E582">
        <v>11</v>
      </c>
      <c r="F582" t="b">
        <v>0</v>
      </c>
      <c r="G582">
        <v>3</v>
      </c>
      <c r="H582">
        <v>3</v>
      </c>
      <c r="I582">
        <v>0.22</v>
      </c>
      <c r="J582">
        <v>0.19700000000000001</v>
      </c>
      <c r="K582">
        <v>0.93</v>
      </c>
      <c r="L582">
        <v>0.32840000000000003</v>
      </c>
      <c r="M582">
        <v>6</v>
      </c>
      <c r="N582">
        <v>35</v>
      </c>
      <c r="O582">
        <v>41</v>
      </c>
    </row>
    <row r="583" spans="1:15" x14ac:dyDescent="0.25">
      <c r="A583">
        <v>582</v>
      </c>
      <c r="B583" s="2">
        <v>40569</v>
      </c>
      <c r="C583">
        <v>1</v>
      </c>
      <c r="D583">
        <v>1</v>
      </c>
      <c r="E583">
        <v>12</v>
      </c>
      <c r="F583" t="b">
        <v>0</v>
      </c>
      <c r="G583">
        <v>3</v>
      </c>
      <c r="H583">
        <v>3</v>
      </c>
      <c r="I583">
        <v>0.22</v>
      </c>
      <c r="J583">
        <v>0.19700000000000001</v>
      </c>
      <c r="K583">
        <v>0.93</v>
      </c>
      <c r="L583">
        <v>0.32840000000000003</v>
      </c>
      <c r="M583">
        <v>7</v>
      </c>
      <c r="N583">
        <v>41</v>
      </c>
      <c r="O583">
        <v>48</v>
      </c>
    </row>
    <row r="584" spans="1:15" x14ac:dyDescent="0.25">
      <c r="A584">
        <v>583</v>
      </c>
      <c r="B584" s="2">
        <v>40569</v>
      </c>
      <c r="C584">
        <v>1</v>
      </c>
      <c r="D584">
        <v>1</v>
      </c>
      <c r="E584">
        <v>13</v>
      </c>
      <c r="F584" t="b">
        <v>0</v>
      </c>
      <c r="G584">
        <v>3</v>
      </c>
      <c r="H584">
        <v>3</v>
      </c>
      <c r="I584">
        <v>0.22</v>
      </c>
      <c r="J584">
        <v>0.19700000000000001</v>
      </c>
      <c r="K584">
        <v>0.93</v>
      </c>
      <c r="L584">
        <v>0.32840000000000003</v>
      </c>
      <c r="M584">
        <v>4</v>
      </c>
      <c r="N584">
        <v>43</v>
      </c>
      <c r="O584">
        <v>47</v>
      </c>
    </row>
    <row r="585" spans="1:15" x14ac:dyDescent="0.25">
      <c r="A585">
        <v>584</v>
      </c>
      <c r="B585" s="2">
        <v>40569</v>
      </c>
      <c r="C585">
        <v>1</v>
      </c>
      <c r="D585">
        <v>1</v>
      </c>
      <c r="E585">
        <v>14</v>
      </c>
      <c r="F585" t="b">
        <v>0</v>
      </c>
      <c r="G585">
        <v>3</v>
      </c>
      <c r="H585">
        <v>3</v>
      </c>
      <c r="I585">
        <v>0.22</v>
      </c>
      <c r="J585">
        <v>0.19700000000000001</v>
      </c>
      <c r="K585">
        <v>0.93</v>
      </c>
      <c r="L585">
        <v>0.35820000000000002</v>
      </c>
      <c r="M585">
        <v>0</v>
      </c>
      <c r="N585">
        <v>36</v>
      </c>
      <c r="O585">
        <v>36</v>
      </c>
    </row>
    <row r="586" spans="1:15" x14ac:dyDescent="0.25">
      <c r="A586">
        <v>585</v>
      </c>
      <c r="B586" s="2">
        <v>40569</v>
      </c>
      <c r="C586">
        <v>1</v>
      </c>
      <c r="D586">
        <v>1</v>
      </c>
      <c r="E586">
        <v>15</v>
      </c>
      <c r="F586" t="b">
        <v>0</v>
      </c>
      <c r="G586">
        <v>3</v>
      </c>
      <c r="H586">
        <v>3</v>
      </c>
      <c r="I586">
        <v>0.22</v>
      </c>
      <c r="J586">
        <v>0.18179999999999999</v>
      </c>
      <c r="K586">
        <v>0.93</v>
      </c>
      <c r="L586">
        <v>0.4627</v>
      </c>
      <c r="M586">
        <v>1</v>
      </c>
      <c r="N586">
        <v>42</v>
      </c>
      <c r="O586">
        <v>43</v>
      </c>
    </row>
    <row r="587" spans="1:15" x14ac:dyDescent="0.25">
      <c r="A587">
        <v>586</v>
      </c>
      <c r="B587" s="2">
        <v>40569</v>
      </c>
      <c r="C587">
        <v>1</v>
      </c>
      <c r="D587">
        <v>1</v>
      </c>
      <c r="E587">
        <v>16</v>
      </c>
      <c r="F587" t="b">
        <v>0</v>
      </c>
      <c r="G587">
        <v>3</v>
      </c>
      <c r="H587">
        <v>4</v>
      </c>
      <c r="I587">
        <v>0.22</v>
      </c>
      <c r="J587">
        <v>0.19700000000000001</v>
      </c>
      <c r="K587">
        <v>0.93</v>
      </c>
      <c r="L587">
        <v>0.32840000000000003</v>
      </c>
      <c r="M587">
        <v>1</v>
      </c>
      <c r="N587">
        <v>35</v>
      </c>
      <c r="O587">
        <v>36</v>
      </c>
    </row>
    <row r="588" spans="1:15" x14ac:dyDescent="0.25">
      <c r="A588">
        <v>587</v>
      </c>
      <c r="B588" s="2">
        <v>40569</v>
      </c>
      <c r="C588">
        <v>1</v>
      </c>
      <c r="D588">
        <v>1</v>
      </c>
      <c r="E588">
        <v>17</v>
      </c>
      <c r="F588" t="b">
        <v>0</v>
      </c>
      <c r="G588">
        <v>3</v>
      </c>
      <c r="H588">
        <v>3</v>
      </c>
      <c r="I588">
        <v>0.2</v>
      </c>
      <c r="J588">
        <v>0.18179999999999999</v>
      </c>
      <c r="K588">
        <v>0.93</v>
      </c>
      <c r="L588">
        <v>0.35820000000000002</v>
      </c>
      <c r="M588">
        <v>0</v>
      </c>
      <c r="N588">
        <v>26</v>
      </c>
      <c r="O588">
        <v>26</v>
      </c>
    </row>
    <row r="589" spans="1:15" x14ac:dyDescent="0.25">
      <c r="A589">
        <v>588</v>
      </c>
      <c r="B589" s="2">
        <v>40570</v>
      </c>
      <c r="C589">
        <v>1</v>
      </c>
      <c r="D589">
        <v>1</v>
      </c>
      <c r="E589">
        <v>16</v>
      </c>
      <c r="F589" t="b">
        <v>0</v>
      </c>
      <c r="G589">
        <v>4</v>
      </c>
      <c r="H589">
        <v>1</v>
      </c>
      <c r="I589">
        <v>0.22</v>
      </c>
      <c r="J589">
        <v>0.2273</v>
      </c>
      <c r="K589">
        <v>0.55000000000000004</v>
      </c>
      <c r="L589">
        <v>0.19400000000000001</v>
      </c>
      <c r="M589">
        <v>1</v>
      </c>
      <c r="N589">
        <v>23</v>
      </c>
      <c r="O589">
        <v>24</v>
      </c>
    </row>
    <row r="590" spans="1:15" x14ac:dyDescent="0.25">
      <c r="A590">
        <v>589</v>
      </c>
      <c r="B590" s="2">
        <v>40570</v>
      </c>
      <c r="C590">
        <v>1</v>
      </c>
      <c r="D590">
        <v>1</v>
      </c>
      <c r="E590">
        <v>17</v>
      </c>
      <c r="F590" t="b">
        <v>0</v>
      </c>
      <c r="G590">
        <v>4</v>
      </c>
      <c r="H590">
        <v>1</v>
      </c>
      <c r="I590">
        <v>0.22</v>
      </c>
      <c r="J590">
        <v>0.2424</v>
      </c>
      <c r="K590">
        <v>0.55000000000000004</v>
      </c>
      <c r="L590">
        <v>0.1045</v>
      </c>
      <c r="M590">
        <v>2</v>
      </c>
      <c r="N590">
        <v>82</v>
      </c>
      <c r="O590">
        <v>84</v>
      </c>
    </row>
    <row r="591" spans="1:15" x14ac:dyDescent="0.25">
      <c r="A591">
        <v>590</v>
      </c>
      <c r="B591" s="2">
        <v>40570</v>
      </c>
      <c r="C591">
        <v>1</v>
      </c>
      <c r="D591">
        <v>1</v>
      </c>
      <c r="E591">
        <v>18</v>
      </c>
      <c r="F591" t="b">
        <v>0</v>
      </c>
      <c r="G591">
        <v>4</v>
      </c>
      <c r="H591">
        <v>1</v>
      </c>
      <c r="I591">
        <v>0.2</v>
      </c>
      <c r="J591">
        <v>0.2273</v>
      </c>
      <c r="K591">
        <v>0.69</v>
      </c>
      <c r="L591">
        <v>8.9599999999999999E-2</v>
      </c>
      <c r="M591">
        <v>3</v>
      </c>
      <c r="N591">
        <v>101</v>
      </c>
      <c r="O591">
        <v>104</v>
      </c>
    </row>
    <row r="592" spans="1:15" x14ac:dyDescent="0.25">
      <c r="A592">
        <v>591</v>
      </c>
      <c r="B592" s="2">
        <v>40570</v>
      </c>
      <c r="C592">
        <v>1</v>
      </c>
      <c r="D592">
        <v>1</v>
      </c>
      <c r="E592">
        <v>19</v>
      </c>
      <c r="F592" t="b">
        <v>0</v>
      </c>
      <c r="G592">
        <v>4</v>
      </c>
      <c r="H592">
        <v>1</v>
      </c>
      <c r="I592">
        <v>0.2</v>
      </c>
      <c r="J592">
        <v>0.2273</v>
      </c>
      <c r="K592">
        <v>0.69</v>
      </c>
      <c r="L592">
        <v>8.9599999999999999E-2</v>
      </c>
      <c r="M592">
        <v>3</v>
      </c>
      <c r="N592">
        <v>76</v>
      </c>
      <c r="O592">
        <v>79</v>
      </c>
    </row>
    <row r="593" spans="1:15" x14ac:dyDescent="0.25">
      <c r="A593">
        <v>592</v>
      </c>
      <c r="B593" s="2">
        <v>40570</v>
      </c>
      <c r="C593">
        <v>1</v>
      </c>
      <c r="D593">
        <v>1</v>
      </c>
      <c r="E593">
        <v>20</v>
      </c>
      <c r="F593" t="b">
        <v>0</v>
      </c>
      <c r="G593">
        <v>4</v>
      </c>
      <c r="H593">
        <v>1</v>
      </c>
      <c r="I593">
        <v>0.18</v>
      </c>
      <c r="J593">
        <v>0.21210000000000001</v>
      </c>
      <c r="K593">
        <v>0.74</v>
      </c>
      <c r="L593">
        <v>8.9599999999999999E-2</v>
      </c>
      <c r="M593">
        <v>4</v>
      </c>
      <c r="N593">
        <v>55</v>
      </c>
      <c r="O593">
        <v>59</v>
      </c>
    </row>
    <row r="594" spans="1:15" x14ac:dyDescent="0.25">
      <c r="A594">
        <v>593</v>
      </c>
      <c r="B594" s="2">
        <v>40570</v>
      </c>
      <c r="C594">
        <v>1</v>
      </c>
      <c r="D594">
        <v>1</v>
      </c>
      <c r="E594">
        <v>21</v>
      </c>
      <c r="F594" t="b">
        <v>0</v>
      </c>
      <c r="G594">
        <v>4</v>
      </c>
      <c r="H594">
        <v>1</v>
      </c>
      <c r="I594">
        <v>0.18</v>
      </c>
      <c r="J594">
        <v>0.21210000000000001</v>
      </c>
      <c r="K594">
        <v>0.74</v>
      </c>
      <c r="L594">
        <v>8.9599999999999999E-2</v>
      </c>
      <c r="M594">
        <v>2</v>
      </c>
      <c r="N594">
        <v>36</v>
      </c>
      <c r="O594">
        <v>38</v>
      </c>
    </row>
    <row r="595" spans="1:15" x14ac:dyDescent="0.25">
      <c r="A595">
        <v>594</v>
      </c>
      <c r="B595" s="2">
        <v>40570</v>
      </c>
      <c r="C595">
        <v>1</v>
      </c>
      <c r="D595">
        <v>1</v>
      </c>
      <c r="E595">
        <v>22</v>
      </c>
      <c r="F595" t="b">
        <v>0</v>
      </c>
      <c r="G595">
        <v>4</v>
      </c>
      <c r="H595">
        <v>1</v>
      </c>
      <c r="I595">
        <v>0.18</v>
      </c>
      <c r="J595">
        <v>0.21210000000000001</v>
      </c>
      <c r="K595">
        <v>0.74</v>
      </c>
      <c r="L595">
        <v>8.9599999999999999E-2</v>
      </c>
      <c r="M595">
        <v>0</v>
      </c>
      <c r="N595">
        <v>27</v>
      </c>
      <c r="O595">
        <v>27</v>
      </c>
    </row>
    <row r="596" spans="1:15" x14ac:dyDescent="0.25">
      <c r="A596">
        <v>595</v>
      </c>
      <c r="B596" s="2">
        <v>40570</v>
      </c>
      <c r="C596">
        <v>1</v>
      </c>
      <c r="D596">
        <v>1</v>
      </c>
      <c r="E596">
        <v>23</v>
      </c>
      <c r="F596" t="b">
        <v>0</v>
      </c>
      <c r="G596">
        <v>4</v>
      </c>
      <c r="H596">
        <v>1</v>
      </c>
      <c r="I596">
        <v>0.18</v>
      </c>
      <c r="J596">
        <v>0.19700000000000001</v>
      </c>
      <c r="K596">
        <v>0.8</v>
      </c>
      <c r="L596">
        <v>0.16420000000000001</v>
      </c>
      <c r="M596">
        <v>0</v>
      </c>
      <c r="N596">
        <v>16</v>
      </c>
      <c r="O596">
        <v>16</v>
      </c>
    </row>
    <row r="597" spans="1:15" x14ac:dyDescent="0.25">
      <c r="A597">
        <v>596</v>
      </c>
      <c r="B597" s="2">
        <v>40571</v>
      </c>
      <c r="C597">
        <v>1</v>
      </c>
      <c r="D597">
        <v>1</v>
      </c>
      <c r="E597">
        <v>0</v>
      </c>
      <c r="F597" t="b">
        <v>0</v>
      </c>
      <c r="G597">
        <v>5</v>
      </c>
      <c r="H597">
        <v>2</v>
      </c>
      <c r="I597">
        <v>0.2</v>
      </c>
      <c r="J597">
        <v>0.21210000000000001</v>
      </c>
      <c r="K597">
        <v>0.75</v>
      </c>
      <c r="L597">
        <v>0.1343</v>
      </c>
      <c r="M597">
        <v>0</v>
      </c>
      <c r="N597">
        <v>9</v>
      </c>
      <c r="O597">
        <v>9</v>
      </c>
    </row>
    <row r="598" spans="1:15" x14ac:dyDescent="0.25">
      <c r="A598">
        <v>597</v>
      </c>
      <c r="B598" s="2">
        <v>40571</v>
      </c>
      <c r="C598">
        <v>1</v>
      </c>
      <c r="D598">
        <v>1</v>
      </c>
      <c r="E598">
        <v>1</v>
      </c>
      <c r="F598" t="b">
        <v>0</v>
      </c>
      <c r="G598">
        <v>5</v>
      </c>
      <c r="H598">
        <v>2</v>
      </c>
      <c r="I598">
        <v>0.2</v>
      </c>
      <c r="J598">
        <v>0.21210000000000001</v>
      </c>
      <c r="K598">
        <v>0.75</v>
      </c>
      <c r="L598">
        <v>0.1343</v>
      </c>
      <c r="M598">
        <v>1</v>
      </c>
      <c r="N598">
        <v>2</v>
      </c>
      <c r="O598">
        <v>3</v>
      </c>
    </row>
    <row r="599" spans="1:15" x14ac:dyDescent="0.25">
      <c r="A599">
        <v>598</v>
      </c>
      <c r="B599" s="2">
        <v>40571</v>
      </c>
      <c r="C599">
        <v>1</v>
      </c>
      <c r="D599">
        <v>1</v>
      </c>
      <c r="E599">
        <v>2</v>
      </c>
      <c r="F599" t="b">
        <v>0</v>
      </c>
      <c r="G599">
        <v>5</v>
      </c>
      <c r="H599">
        <v>2</v>
      </c>
      <c r="I599">
        <v>0.2</v>
      </c>
      <c r="J599">
        <v>0.21210000000000001</v>
      </c>
      <c r="K599">
        <v>0.75</v>
      </c>
      <c r="L599">
        <v>0.16420000000000001</v>
      </c>
      <c r="M599">
        <v>0</v>
      </c>
      <c r="N599">
        <v>2</v>
      </c>
      <c r="O599">
        <v>2</v>
      </c>
    </row>
    <row r="600" spans="1:15" x14ac:dyDescent="0.25">
      <c r="A600">
        <v>599</v>
      </c>
      <c r="B600" s="2">
        <v>40571</v>
      </c>
      <c r="C600">
        <v>1</v>
      </c>
      <c r="D600">
        <v>1</v>
      </c>
      <c r="E600">
        <v>3</v>
      </c>
      <c r="F600" t="b">
        <v>0</v>
      </c>
      <c r="G600">
        <v>5</v>
      </c>
      <c r="H600">
        <v>2</v>
      </c>
      <c r="I600">
        <v>0.2</v>
      </c>
      <c r="J600">
        <v>0.2273</v>
      </c>
      <c r="K600">
        <v>0.75</v>
      </c>
      <c r="L600">
        <v>0.1045</v>
      </c>
      <c r="M600">
        <v>1</v>
      </c>
      <c r="N600">
        <v>0</v>
      </c>
      <c r="O600">
        <v>1</v>
      </c>
    </row>
    <row r="601" spans="1:15" x14ac:dyDescent="0.25">
      <c r="A601">
        <v>600</v>
      </c>
      <c r="B601" s="2">
        <v>40571</v>
      </c>
      <c r="C601">
        <v>1</v>
      </c>
      <c r="D601">
        <v>1</v>
      </c>
      <c r="E601">
        <v>5</v>
      </c>
      <c r="F601" t="b">
        <v>0</v>
      </c>
      <c r="G601">
        <v>5</v>
      </c>
      <c r="H601">
        <v>2</v>
      </c>
      <c r="I601">
        <v>0.18</v>
      </c>
      <c r="J601">
        <v>0.21210000000000001</v>
      </c>
      <c r="K601">
        <v>0.8</v>
      </c>
      <c r="L601">
        <v>0.1045</v>
      </c>
      <c r="M601">
        <v>0</v>
      </c>
      <c r="N601">
        <v>4</v>
      </c>
      <c r="O601">
        <v>4</v>
      </c>
    </row>
    <row r="602" spans="1:15" x14ac:dyDescent="0.25">
      <c r="A602">
        <v>601</v>
      </c>
      <c r="B602" s="2">
        <v>40571</v>
      </c>
      <c r="C602">
        <v>1</v>
      </c>
      <c r="D602">
        <v>1</v>
      </c>
      <c r="E602">
        <v>6</v>
      </c>
      <c r="F602" t="b">
        <v>0</v>
      </c>
      <c r="G602">
        <v>5</v>
      </c>
      <c r="H602">
        <v>2</v>
      </c>
      <c r="I602">
        <v>0.18</v>
      </c>
      <c r="J602">
        <v>0.19700000000000001</v>
      </c>
      <c r="K602">
        <v>0.8</v>
      </c>
      <c r="L602">
        <v>0.1343</v>
      </c>
      <c r="M602">
        <v>0</v>
      </c>
      <c r="N602">
        <v>16</v>
      </c>
      <c r="O602">
        <v>16</v>
      </c>
    </row>
    <row r="603" spans="1:15" x14ac:dyDescent="0.25">
      <c r="A603">
        <v>602</v>
      </c>
      <c r="B603" s="2">
        <v>40571</v>
      </c>
      <c r="C603">
        <v>1</v>
      </c>
      <c r="D603">
        <v>1</v>
      </c>
      <c r="E603">
        <v>7</v>
      </c>
      <c r="F603" t="b">
        <v>0</v>
      </c>
      <c r="G603">
        <v>5</v>
      </c>
      <c r="H603">
        <v>2</v>
      </c>
      <c r="I603">
        <v>0.16</v>
      </c>
      <c r="J603">
        <v>0.19700000000000001</v>
      </c>
      <c r="K603">
        <v>0.86</v>
      </c>
      <c r="L603">
        <v>8.9599999999999999E-2</v>
      </c>
      <c r="M603">
        <v>2</v>
      </c>
      <c r="N603">
        <v>58</v>
      </c>
      <c r="O603">
        <v>60</v>
      </c>
    </row>
    <row r="604" spans="1:15" x14ac:dyDescent="0.25">
      <c r="A604">
        <v>603</v>
      </c>
      <c r="B604" s="2">
        <v>40571</v>
      </c>
      <c r="C604">
        <v>1</v>
      </c>
      <c r="D604">
        <v>1</v>
      </c>
      <c r="E604">
        <v>8</v>
      </c>
      <c r="F604" t="b">
        <v>0</v>
      </c>
      <c r="G604">
        <v>5</v>
      </c>
      <c r="H604">
        <v>2</v>
      </c>
      <c r="I604">
        <v>0.16</v>
      </c>
      <c r="J604">
        <v>0.19700000000000001</v>
      </c>
      <c r="K604">
        <v>0.86</v>
      </c>
      <c r="L604">
        <v>8.9599999999999999E-2</v>
      </c>
      <c r="M604">
        <v>2</v>
      </c>
      <c r="N604">
        <v>155</v>
      </c>
      <c r="O604">
        <v>157</v>
      </c>
    </row>
    <row r="605" spans="1:15" x14ac:dyDescent="0.25">
      <c r="A605">
        <v>604</v>
      </c>
      <c r="B605" s="2">
        <v>40571</v>
      </c>
      <c r="C605">
        <v>1</v>
      </c>
      <c r="D605">
        <v>1</v>
      </c>
      <c r="E605">
        <v>9</v>
      </c>
      <c r="F605" t="b">
        <v>0</v>
      </c>
      <c r="G605">
        <v>5</v>
      </c>
      <c r="H605">
        <v>3</v>
      </c>
      <c r="I605">
        <v>0.18</v>
      </c>
      <c r="J605">
        <v>0.21210000000000001</v>
      </c>
      <c r="K605">
        <v>0.86</v>
      </c>
      <c r="L605">
        <v>8.9599999999999999E-2</v>
      </c>
      <c r="M605">
        <v>6</v>
      </c>
      <c r="N605">
        <v>95</v>
      </c>
      <c r="O605">
        <v>101</v>
      </c>
    </row>
    <row r="606" spans="1:15" x14ac:dyDescent="0.25">
      <c r="A606">
        <v>605</v>
      </c>
      <c r="B606" s="2">
        <v>40571</v>
      </c>
      <c r="C606">
        <v>1</v>
      </c>
      <c r="D606">
        <v>1</v>
      </c>
      <c r="E606">
        <v>10</v>
      </c>
      <c r="F606" t="b">
        <v>0</v>
      </c>
      <c r="G606">
        <v>5</v>
      </c>
      <c r="H606">
        <v>3</v>
      </c>
      <c r="I606">
        <v>0.18</v>
      </c>
      <c r="J606">
        <v>0.21210000000000001</v>
      </c>
      <c r="K606">
        <v>0.86</v>
      </c>
      <c r="L606">
        <v>0.1045</v>
      </c>
      <c r="M606">
        <v>0</v>
      </c>
      <c r="N606">
        <v>49</v>
      </c>
      <c r="O606">
        <v>49</v>
      </c>
    </row>
    <row r="607" spans="1:15" x14ac:dyDescent="0.25">
      <c r="A607">
        <v>606</v>
      </c>
      <c r="B607" s="2">
        <v>40571</v>
      </c>
      <c r="C607">
        <v>1</v>
      </c>
      <c r="D607">
        <v>1</v>
      </c>
      <c r="E607">
        <v>11</v>
      </c>
      <c r="F607" t="b">
        <v>0</v>
      </c>
      <c r="G607">
        <v>5</v>
      </c>
      <c r="H607">
        <v>3</v>
      </c>
      <c r="I607">
        <v>0.18</v>
      </c>
      <c r="J607">
        <v>0.21210000000000001</v>
      </c>
      <c r="K607">
        <v>0.93</v>
      </c>
      <c r="L607">
        <v>0.1045</v>
      </c>
      <c r="M607">
        <v>0</v>
      </c>
      <c r="N607">
        <v>30</v>
      </c>
      <c r="O607">
        <v>30</v>
      </c>
    </row>
    <row r="608" spans="1:15" x14ac:dyDescent="0.25">
      <c r="A608">
        <v>607</v>
      </c>
      <c r="B608" s="2">
        <v>40571</v>
      </c>
      <c r="C608">
        <v>1</v>
      </c>
      <c r="D608">
        <v>1</v>
      </c>
      <c r="E608">
        <v>12</v>
      </c>
      <c r="F608" t="b">
        <v>0</v>
      </c>
      <c r="G608">
        <v>5</v>
      </c>
      <c r="H608">
        <v>3</v>
      </c>
      <c r="I608">
        <v>0.18</v>
      </c>
      <c r="J608">
        <v>0.21210000000000001</v>
      </c>
      <c r="K608">
        <v>0.93</v>
      </c>
      <c r="L608">
        <v>0.1045</v>
      </c>
      <c r="M608">
        <v>1</v>
      </c>
      <c r="N608">
        <v>28</v>
      </c>
      <c r="O608">
        <v>29</v>
      </c>
    </row>
    <row r="609" spans="1:15" x14ac:dyDescent="0.25">
      <c r="A609">
        <v>608</v>
      </c>
      <c r="B609" s="2">
        <v>40571</v>
      </c>
      <c r="C609">
        <v>1</v>
      </c>
      <c r="D609">
        <v>1</v>
      </c>
      <c r="E609">
        <v>13</v>
      </c>
      <c r="F609" t="b">
        <v>0</v>
      </c>
      <c r="G609">
        <v>5</v>
      </c>
      <c r="H609">
        <v>3</v>
      </c>
      <c r="I609">
        <v>0.18</v>
      </c>
      <c r="J609">
        <v>0.21210000000000001</v>
      </c>
      <c r="K609">
        <v>0.93</v>
      </c>
      <c r="L609">
        <v>0.1045</v>
      </c>
      <c r="M609">
        <v>0</v>
      </c>
      <c r="N609">
        <v>31</v>
      </c>
      <c r="O609">
        <v>31</v>
      </c>
    </row>
    <row r="610" spans="1:15" x14ac:dyDescent="0.25">
      <c r="A610">
        <v>609</v>
      </c>
      <c r="B610" s="2">
        <v>40571</v>
      </c>
      <c r="C610">
        <v>1</v>
      </c>
      <c r="D610">
        <v>1</v>
      </c>
      <c r="E610">
        <v>14</v>
      </c>
      <c r="F610" t="b">
        <v>0</v>
      </c>
      <c r="G610">
        <v>5</v>
      </c>
      <c r="H610">
        <v>3</v>
      </c>
      <c r="I610">
        <v>0.22</v>
      </c>
      <c r="J610">
        <v>0.2727</v>
      </c>
      <c r="K610">
        <v>0.8</v>
      </c>
      <c r="L610">
        <v>0.53634999999999999</v>
      </c>
      <c r="M610">
        <v>2</v>
      </c>
      <c r="N610">
        <v>36</v>
      </c>
      <c r="O610">
        <v>38</v>
      </c>
    </row>
    <row r="611" spans="1:15" x14ac:dyDescent="0.25">
      <c r="A611">
        <v>610</v>
      </c>
      <c r="B611" s="2">
        <v>40571</v>
      </c>
      <c r="C611">
        <v>1</v>
      </c>
      <c r="D611">
        <v>1</v>
      </c>
      <c r="E611">
        <v>15</v>
      </c>
      <c r="F611" t="b">
        <v>0</v>
      </c>
      <c r="G611">
        <v>5</v>
      </c>
      <c r="H611">
        <v>2</v>
      </c>
      <c r="I611">
        <v>0.2</v>
      </c>
      <c r="J611">
        <v>0.2576</v>
      </c>
      <c r="K611">
        <v>0.86</v>
      </c>
      <c r="L611">
        <v>0.55879999999999996</v>
      </c>
      <c r="M611">
        <v>1</v>
      </c>
      <c r="N611">
        <v>40</v>
      </c>
      <c r="O611">
        <v>41</v>
      </c>
    </row>
    <row r="612" spans="1:15" x14ac:dyDescent="0.25">
      <c r="A612">
        <v>611</v>
      </c>
      <c r="B612" s="2">
        <v>40571</v>
      </c>
      <c r="C612">
        <v>1</v>
      </c>
      <c r="D612">
        <v>1</v>
      </c>
      <c r="E612">
        <v>16</v>
      </c>
      <c r="F612" t="b">
        <v>0</v>
      </c>
      <c r="G612">
        <v>5</v>
      </c>
      <c r="H612">
        <v>1</v>
      </c>
      <c r="I612">
        <v>0.22</v>
      </c>
      <c r="J612">
        <v>0.2727</v>
      </c>
      <c r="K612">
        <v>0.8</v>
      </c>
      <c r="L612">
        <f>AVERAGE(J612:K612)</f>
        <v>0.53634999999999999</v>
      </c>
      <c r="M612">
        <v>10</v>
      </c>
      <c r="N612">
        <v>70</v>
      </c>
      <c r="O612">
        <v>80</v>
      </c>
    </row>
    <row r="613" spans="1:15" x14ac:dyDescent="0.25">
      <c r="A613">
        <v>612</v>
      </c>
      <c r="B613" s="2">
        <v>40571</v>
      </c>
      <c r="C613">
        <v>1</v>
      </c>
      <c r="D613">
        <v>1</v>
      </c>
      <c r="E613">
        <v>17</v>
      </c>
      <c r="F613" t="b">
        <v>0</v>
      </c>
      <c r="G613">
        <v>5</v>
      </c>
      <c r="H613">
        <v>1</v>
      </c>
      <c r="I613">
        <v>0.24</v>
      </c>
      <c r="J613">
        <v>0.2424</v>
      </c>
      <c r="K613">
        <v>0.75</v>
      </c>
      <c r="L613">
        <v>0.1343</v>
      </c>
      <c r="M613">
        <v>2</v>
      </c>
      <c r="N613">
        <v>147</v>
      </c>
      <c r="O613">
        <v>149</v>
      </c>
    </row>
    <row r="614" spans="1:15" x14ac:dyDescent="0.25">
      <c r="A614">
        <v>613</v>
      </c>
      <c r="B614" s="2">
        <v>40571</v>
      </c>
      <c r="C614">
        <v>1</v>
      </c>
      <c r="D614">
        <v>1</v>
      </c>
      <c r="E614">
        <v>18</v>
      </c>
      <c r="F614" t="b">
        <v>0</v>
      </c>
      <c r="G614">
        <v>5</v>
      </c>
      <c r="H614">
        <v>1</v>
      </c>
      <c r="I614">
        <v>0.24</v>
      </c>
      <c r="J614">
        <v>0.2273</v>
      </c>
      <c r="K614">
        <v>0.75</v>
      </c>
      <c r="L614">
        <v>0.19400000000000001</v>
      </c>
      <c r="M614">
        <v>2</v>
      </c>
      <c r="N614">
        <v>107</v>
      </c>
      <c r="O614">
        <v>109</v>
      </c>
    </row>
    <row r="615" spans="1:15" x14ac:dyDescent="0.25">
      <c r="A615">
        <v>614</v>
      </c>
      <c r="B615" s="2">
        <v>40571</v>
      </c>
      <c r="C615">
        <v>1</v>
      </c>
      <c r="D615">
        <v>1</v>
      </c>
      <c r="E615">
        <v>19</v>
      </c>
      <c r="F615" t="b">
        <v>0</v>
      </c>
      <c r="G615">
        <v>5</v>
      </c>
      <c r="H615">
        <v>2</v>
      </c>
      <c r="I615">
        <v>0.24</v>
      </c>
      <c r="J615">
        <v>0.2424</v>
      </c>
      <c r="K615">
        <v>0.75</v>
      </c>
      <c r="L615">
        <v>0.1343</v>
      </c>
      <c r="M615">
        <v>5</v>
      </c>
      <c r="N615">
        <v>84</v>
      </c>
      <c r="O615">
        <v>89</v>
      </c>
    </row>
    <row r="616" spans="1:15" x14ac:dyDescent="0.25">
      <c r="A616">
        <v>615</v>
      </c>
      <c r="B616" s="2">
        <v>40571</v>
      </c>
      <c r="C616">
        <v>1</v>
      </c>
      <c r="D616">
        <v>1</v>
      </c>
      <c r="E616">
        <v>20</v>
      </c>
      <c r="F616" t="b">
        <v>0</v>
      </c>
      <c r="G616">
        <v>5</v>
      </c>
      <c r="H616">
        <v>2</v>
      </c>
      <c r="I616">
        <v>0.24</v>
      </c>
      <c r="J616">
        <v>0.2273</v>
      </c>
      <c r="K616">
        <v>0.7</v>
      </c>
      <c r="L616">
        <v>0.19400000000000001</v>
      </c>
      <c r="M616">
        <v>1</v>
      </c>
      <c r="N616">
        <v>61</v>
      </c>
      <c r="O616">
        <v>62</v>
      </c>
    </row>
    <row r="617" spans="1:15" x14ac:dyDescent="0.25">
      <c r="A617">
        <v>616</v>
      </c>
      <c r="B617" s="2">
        <v>40571</v>
      </c>
      <c r="C617">
        <v>1</v>
      </c>
      <c r="D617">
        <v>1</v>
      </c>
      <c r="E617">
        <v>21</v>
      </c>
      <c r="F617" t="b">
        <v>0</v>
      </c>
      <c r="G617">
        <v>5</v>
      </c>
      <c r="H617">
        <v>2</v>
      </c>
      <c r="I617">
        <v>0.22</v>
      </c>
      <c r="J617">
        <v>0.2273</v>
      </c>
      <c r="K617">
        <v>0.75</v>
      </c>
      <c r="L617">
        <v>0.1343</v>
      </c>
      <c r="M617">
        <v>1</v>
      </c>
      <c r="N617">
        <v>57</v>
      </c>
      <c r="O617">
        <v>58</v>
      </c>
    </row>
    <row r="618" spans="1:15" x14ac:dyDescent="0.25">
      <c r="A618">
        <v>617</v>
      </c>
      <c r="B618" s="2">
        <v>40571</v>
      </c>
      <c r="C618">
        <v>1</v>
      </c>
      <c r="D618">
        <v>1</v>
      </c>
      <c r="E618">
        <v>22</v>
      </c>
      <c r="F618" t="b">
        <v>0</v>
      </c>
      <c r="G618">
        <v>5</v>
      </c>
      <c r="H618">
        <v>1</v>
      </c>
      <c r="I618">
        <v>0.24</v>
      </c>
      <c r="J618">
        <v>0.21210000000000001</v>
      </c>
      <c r="K618">
        <v>0.65</v>
      </c>
      <c r="L618">
        <v>0.35820000000000002</v>
      </c>
      <c r="M618">
        <v>0</v>
      </c>
      <c r="N618">
        <v>26</v>
      </c>
      <c r="O618">
        <v>26</v>
      </c>
    </row>
    <row r="619" spans="1:15" x14ac:dyDescent="0.25">
      <c r="A619">
        <v>618</v>
      </c>
      <c r="B619" s="2">
        <v>40571</v>
      </c>
      <c r="C619">
        <v>1</v>
      </c>
      <c r="D619">
        <v>1</v>
      </c>
      <c r="E619">
        <v>23</v>
      </c>
      <c r="F619" t="b">
        <v>0</v>
      </c>
      <c r="G619">
        <v>5</v>
      </c>
      <c r="H619">
        <v>1</v>
      </c>
      <c r="I619">
        <v>0.24</v>
      </c>
      <c r="J619">
        <v>0.2273</v>
      </c>
      <c r="K619">
        <v>0.6</v>
      </c>
      <c r="L619">
        <v>0.22389999999999999</v>
      </c>
      <c r="M619">
        <v>1</v>
      </c>
      <c r="N619">
        <v>22</v>
      </c>
      <c r="O619">
        <v>23</v>
      </c>
    </row>
    <row r="620" spans="1:15" x14ac:dyDescent="0.25">
      <c r="A620">
        <v>619</v>
      </c>
      <c r="B620" s="2">
        <v>40572</v>
      </c>
      <c r="C620">
        <v>1</v>
      </c>
      <c r="D620">
        <v>1</v>
      </c>
      <c r="E620">
        <v>0</v>
      </c>
      <c r="F620" t="b">
        <v>0</v>
      </c>
      <c r="G620">
        <v>6</v>
      </c>
      <c r="H620">
        <v>1</v>
      </c>
      <c r="I620">
        <v>0.22</v>
      </c>
      <c r="J620">
        <v>0.19700000000000001</v>
      </c>
      <c r="K620">
        <v>0.64</v>
      </c>
      <c r="L620">
        <v>0.35820000000000002</v>
      </c>
      <c r="M620">
        <v>2</v>
      </c>
      <c r="N620">
        <v>26</v>
      </c>
      <c r="O620">
        <v>28</v>
      </c>
    </row>
    <row r="621" spans="1:15" x14ac:dyDescent="0.25">
      <c r="A621">
        <v>620</v>
      </c>
      <c r="B621" s="2">
        <v>40572</v>
      </c>
      <c r="C621">
        <v>1</v>
      </c>
      <c r="D621">
        <v>1</v>
      </c>
      <c r="E621">
        <v>1</v>
      </c>
      <c r="F621" t="b">
        <v>0</v>
      </c>
      <c r="G621">
        <v>6</v>
      </c>
      <c r="H621">
        <v>1</v>
      </c>
      <c r="I621">
        <v>0.22</v>
      </c>
      <c r="J621">
        <v>0.2273</v>
      </c>
      <c r="K621">
        <v>0.64</v>
      </c>
      <c r="L621">
        <v>0.19400000000000001</v>
      </c>
      <c r="M621">
        <v>0</v>
      </c>
      <c r="N621">
        <v>20</v>
      </c>
      <c r="O621">
        <v>20</v>
      </c>
    </row>
    <row r="622" spans="1:15" x14ac:dyDescent="0.25">
      <c r="A622">
        <v>621</v>
      </c>
      <c r="B622" s="2">
        <v>40572</v>
      </c>
      <c r="C622">
        <v>1</v>
      </c>
      <c r="D622">
        <v>1</v>
      </c>
      <c r="E622">
        <v>2</v>
      </c>
      <c r="F622" t="b">
        <v>0</v>
      </c>
      <c r="G622">
        <v>6</v>
      </c>
      <c r="H622">
        <v>1</v>
      </c>
      <c r="I622">
        <v>0.22</v>
      </c>
      <c r="J622">
        <v>0.2273</v>
      </c>
      <c r="K622">
        <v>0.64</v>
      </c>
      <c r="L622">
        <v>0.16420000000000001</v>
      </c>
      <c r="M622">
        <v>0</v>
      </c>
      <c r="N622">
        <v>15</v>
      </c>
      <c r="O622">
        <v>15</v>
      </c>
    </row>
    <row r="623" spans="1:15" x14ac:dyDescent="0.25">
      <c r="A623">
        <v>622</v>
      </c>
      <c r="B623" s="2">
        <v>40572</v>
      </c>
      <c r="C623">
        <v>1</v>
      </c>
      <c r="D623">
        <v>1</v>
      </c>
      <c r="E623">
        <v>3</v>
      </c>
      <c r="F623" t="b">
        <v>0</v>
      </c>
      <c r="G623">
        <v>6</v>
      </c>
      <c r="H623">
        <v>1</v>
      </c>
      <c r="I623">
        <v>0.2</v>
      </c>
      <c r="J623">
        <v>0.21210000000000001</v>
      </c>
      <c r="K623">
        <v>0.64</v>
      </c>
      <c r="L623">
        <v>0.1343</v>
      </c>
      <c r="M623">
        <v>3</v>
      </c>
      <c r="N623">
        <v>5</v>
      </c>
      <c r="O623">
        <v>8</v>
      </c>
    </row>
    <row r="624" spans="1:15" x14ac:dyDescent="0.25">
      <c r="A624">
        <v>623</v>
      </c>
      <c r="B624" s="2">
        <v>40572</v>
      </c>
      <c r="C624">
        <v>1</v>
      </c>
      <c r="D624">
        <v>1</v>
      </c>
      <c r="E624">
        <v>4</v>
      </c>
      <c r="F624" t="b">
        <v>0</v>
      </c>
      <c r="G624">
        <v>6</v>
      </c>
      <c r="H624">
        <v>1</v>
      </c>
      <c r="I624">
        <v>0.16</v>
      </c>
      <c r="J624">
        <v>0.18179999999999999</v>
      </c>
      <c r="K624">
        <v>0.69</v>
      </c>
      <c r="L624">
        <v>0.1045</v>
      </c>
      <c r="M624">
        <v>1</v>
      </c>
      <c r="N624">
        <v>2</v>
      </c>
      <c r="O624">
        <v>3</v>
      </c>
    </row>
    <row r="625" spans="1:15" x14ac:dyDescent="0.25">
      <c r="A625">
        <v>624</v>
      </c>
      <c r="B625" s="2">
        <v>40572</v>
      </c>
      <c r="C625">
        <v>1</v>
      </c>
      <c r="D625">
        <v>1</v>
      </c>
      <c r="E625">
        <v>6</v>
      </c>
      <c r="F625" t="b">
        <v>0</v>
      </c>
      <c r="G625">
        <v>6</v>
      </c>
      <c r="H625">
        <v>1</v>
      </c>
      <c r="I625">
        <v>0.16</v>
      </c>
      <c r="J625">
        <v>0.18179999999999999</v>
      </c>
      <c r="K625">
        <v>0.64</v>
      </c>
      <c r="L625">
        <v>0.1343</v>
      </c>
      <c r="M625">
        <v>0</v>
      </c>
      <c r="N625">
        <v>2</v>
      </c>
      <c r="O625">
        <v>2</v>
      </c>
    </row>
    <row r="626" spans="1:15" x14ac:dyDescent="0.25">
      <c r="A626">
        <v>625</v>
      </c>
      <c r="B626" s="2">
        <v>40572</v>
      </c>
      <c r="C626">
        <v>1</v>
      </c>
      <c r="D626">
        <v>1</v>
      </c>
      <c r="E626">
        <v>7</v>
      </c>
      <c r="F626" t="b">
        <v>0</v>
      </c>
      <c r="G626">
        <v>6</v>
      </c>
      <c r="H626">
        <v>1</v>
      </c>
      <c r="I626">
        <v>0.16</v>
      </c>
      <c r="J626">
        <v>0.18179999999999999</v>
      </c>
      <c r="K626">
        <v>0.59</v>
      </c>
      <c r="L626">
        <v>0.1045</v>
      </c>
      <c r="M626">
        <v>1</v>
      </c>
      <c r="N626">
        <v>4</v>
      </c>
      <c r="O626">
        <v>5</v>
      </c>
    </row>
    <row r="627" spans="1:15" x14ac:dyDescent="0.25">
      <c r="A627">
        <v>626</v>
      </c>
      <c r="B627" s="2">
        <v>40572</v>
      </c>
      <c r="C627">
        <v>1</v>
      </c>
      <c r="D627">
        <v>1</v>
      </c>
      <c r="E627">
        <v>8</v>
      </c>
      <c r="F627" t="b">
        <v>0</v>
      </c>
      <c r="G627">
        <v>6</v>
      </c>
      <c r="H627">
        <v>1</v>
      </c>
      <c r="I627">
        <v>0.18</v>
      </c>
      <c r="J627">
        <v>0.19700000000000001</v>
      </c>
      <c r="K627">
        <v>0.55000000000000004</v>
      </c>
      <c r="L627">
        <v>0.16420000000000001</v>
      </c>
      <c r="M627">
        <v>3</v>
      </c>
      <c r="N627">
        <v>31</v>
      </c>
      <c r="O627">
        <v>34</v>
      </c>
    </row>
    <row r="628" spans="1:15" x14ac:dyDescent="0.25">
      <c r="A628">
        <v>627</v>
      </c>
      <c r="B628" s="2">
        <v>40572</v>
      </c>
      <c r="C628">
        <v>1</v>
      </c>
      <c r="D628">
        <v>1</v>
      </c>
      <c r="E628">
        <v>9</v>
      </c>
      <c r="F628" t="b">
        <v>0</v>
      </c>
      <c r="G628">
        <v>6</v>
      </c>
      <c r="H628">
        <v>1</v>
      </c>
      <c r="I628">
        <v>0.18</v>
      </c>
      <c r="J628">
        <v>0.21210000000000001</v>
      </c>
      <c r="K628">
        <v>0.59</v>
      </c>
      <c r="L628">
        <v>8.9599999999999999E-2</v>
      </c>
      <c r="M628">
        <v>0</v>
      </c>
      <c r="N628">
        <v>34</v>
      </c>
      <c r="O628">
        <v>34</v>
      </c>
    </row>
    <row r="629" spans="1:15" x14ac:dyDescent="0.25">
      <c r="A629">
        <v>628</v>
      </c>
      <c r="B629" s="2">
        <v>40572</v>
      </c>
      <c r="C629">
        <v>1</v>
      </c>
      <c r="D629">
        <v>1</v>
      </c>
      <c r="E629">
        <v>10</v>
      </c>
      <c r="F629" t="b">
        <v>0</v>
      </c>
      <c r="G629">
        <v>6</v>
      </c>
      <c r="H629">
        <v>2</v>
      </c>
      <c r="I629">
        <v>0.18</v>
      </c>
      <c r="J629">
        <v>0.21210000000000001</v>
      </c>
      <c r="K629">
        <v>0.64</v>
      </c>
      <c r="L629">
        <v>0.1045</v>
      </c>
      <c r="M629">
        <v>4</v>
      </c>
      <c r="N629">
        <v>51</v>
      </c>
      <c r="O629">
        <v>55</v>
      </c>
    </row>
    <row r="630" spans="1:15" x14ac:dyDescent="0.25">
      <c r="A630">
        <v>629</v>
      </c>
      <c r="B630" s="2">
        <v>40572</v>
      </c>
      <c r="C630">
        <v>1</v>
      </c>
      <c r="D630">
        <v>1</v>
      </c>
      <c r="E630">
        <v>11</v>
      </c>
      <c r="F630" t="b">
        <v>0</v>
      </c>
      <c r="G630">
        <v>6</v>
      </c>
      <c r="H630">
        <v>2</v>
      </c>
      <c r="I630">
        <v>0.18</v>
      </c>
      <c r="J630">
        <v>0.19700000000000001</v>
      </c>
      <c r="K630">
        <v>0.64</v>
      </c>
      <c r="L630">
        <v>0.1343</v>
      </c>
      <c r="M630">
        <v>4</v>
      </c>
      <c r="N630">
        <v>60</v>
      </c>
      <c r="O630">
        <v>64</v>
      </c>
    </row>
    <row r="631" spans="1:15" x14ac:dyDescent="0.25">
      <c r="A631">
        <v>630</v>
      </c>
      <c r="B631" s="2">
        <v>40572</v>
      </c>
      <c r="C631">
        <v>1</v>
      </c>
      <c r="D631">
        <v>1</v>
      </c>
      <c r="E631">
        <v>12</v>
      </c>
      <c r="F631" t="b">
        <v>0</v>
      </c>
      <c r="G631">
        <v>6</v>
      </c>
      <c r="H631">
        <v>2</v>
      </c>
      <c r="I631">
        <v>0.2</v>
      </c>
      <c r="J631">
        <v>0.19700000000000001</v>
      </c>
      <c r="K631">
        <v>0.59</v>
      </c>
      <c r="L631">
        <v>0.19400000000000001</v>
      </c>
      <c r="M631">
        <v>12</v>
      </c>
      <c r="N631">
        <v>66</v>
      </c>
      <c r="O631">
        <v>78</v>
      </c>
    </row>
    <row r="632" spans="1:15" x14ac:dyDescent="0.25">
      <c r="A632">
        <v>631</v>
      </c>
      <c r="B632" s="2">
        <v>40572</v>
      </c>
      <c r="C632">
        <v>1</v>
      </c>
      <c r="D632">
        <v>1</v>
      </c>
      <c r="E632">
        <v>13</v>
      </c>
      <c r="F632" t="b">
        <v>0</v>
      </c>
      <c r="G632">
        <v>6</v>
      </c>
      <c r="H632">
        <v>2</v>
      </c>
      <c r="I632">
        <v>0.22</v>
      </c>
      <c r="J632">
        <v>0.2273</v>
      </c>
      <c r="K632">
        <v>0.55000000000000004</v>
      </c>
      <c r="L632">
        <v>0.16420000000000001</v>
      </c>
      <c r="M632">
        <v>9</v>
      </c>
      <c r="N632">
        <v>56</v>
      </c>
      <c r="O632">
        <v>65</v>
      </c>
    </row>
    <row r="633" spans="1:15" x14ac:dyDescent="0.25">
      <c r="A633">
        <v>632</v>
      </c>
      <c r="B633" s="2">
        <v>40572</v>
      </c>
      <c r="C633">
        <v>1</v>
      </c>
      <c r="D633">
        <v>1</v>
      </c>
      <c r="E633">
        <v>14</v>
      </c>
      <c r="F633" t="b">
        <v>0</v>
      </c>
      <c r="G633">
        <v>6</v>
      </c>
      <c r="H633">
        <v>2</v>
      </c>
      <c r="I633">
        <v>0.22</v>
      </c>
      <c r="J633">
        <v>0.2273</v>
      </c>
      <c r="K633">
        <v>0.6</v>
      </c>
      <c r="L633">
        <v>0.1343</v>
      </c>
      <c r="M633">
        <v>10</v>
      </c>
      <c r="N633">
        <v>89</v>
      </c>
      <c r="O633">
        <v>99</v>
      </c>
    </row>
    <row r="634" spans="1:15" x14ac:dyDescent="0.25">
      <c r="A634">
        <v>633</v>
      </c>
      <c r="B634" s="2">
        <v>40572</v>
      </c>
      <c r="C634">
        <v>1</v>
      </c>
      <c r="D634">
        <v>1</v>
      </c>
      <c r="E634">
        <v>15</v>
      </c>
      <c r="F634" t="b">
        <v>0</v>
      </c>
      <c r="G634">
        <v>6</v>
      </c>
      <c r="H634">
        <v>1</v>
      </c>
      <c r="I634">
        <v>0.22</v>
      </c>
      <c r="J634">
        <v>0.21210000000000001</v>
      </c>
      <c r="K634">
        <v>0.69</v>
      </c>
      <c r="L634">
        <v>0.25369999999999998</v>
      </c>
      <c r="M634">
        <v>22</v>
      </c>
      <c r="N634">
        <v>98</v>
      </c>
      <c r="O634">
        <v>120</v>
      </c>
    </row>
    <row r="635" spans="1:15" x14ac:dyDescent="0.25">
      <c r="A635">
        <v>634</v>
      </c>
      <c r="B635" s="2">
        <v>40572</v>
      </c>
      <c r="C635">
        <v>1</v>
      </c>
      <c r="D635">
        <v>1</v>
      </c>
      <c r="E635">
        <v>16</v>
      </c>
      <c r="F635" t="b">
        <v>0</v>
      </c>
      <c r="G635">
        <v>6</v>
      </c>
      <c r="H635">
        <v>1</v>
      </c>
      <c r="I635">
        <v>0.24</v>
      </c>
      <c r="J635">
        <v>0.2424</v>
      </c>
      <c r="K635">
        <v>0.6</v>
      </c>
      <c r="L635">
        <v>0.16420000000000001</v>
      </c>
      <c r="M635">
        <v>19</v>
      </c>
      <c r="N635">
        <v>88</v>
      </c>
      <c r="O635">
        <v>107</v>
      </c>
    </row>
    <row r="636" spans="1:15" x14ac:dyDescent="0.25">
      <c r="A636">
        <v>635</v>
      </c>
      <c r="B636" s="2">
        <v>40572</v>
      </c>
      <c r="C636">
        <v>1</v>
      </c>
      <c r="D636">
        <v>1</v>
      </c>
      <c r="E636">
        <v>17</v>
      </c>
      <c r="F636" t="b">
        <v>0</v>
      </c>
      <c r="G636">
        <v>6</v>
      </c>
      <c r="H636">
        <v>1</v>
      </c>
      <c r="I636">
        <v>0.24</v>
      </c>
      <c r="J636">
        <v>0.28789999999999999</v>
      </c>
      <c r="K636">
        <v>0.6</v>
      </c>
      <c r="L636">
        <f>AVERAGE(J636:K636)</f>
        <v>0.44394999999999996</v>
      </c>
      <c r="M636">
        <v>9</v>
      </c>
      <c r="N636">
        <v>82</v>
      </c>
      <c r="O636">
        <v>91</v>
      </c>
    </row>
    <row r="637" spans="1:15" x14ac:dyDescent="0.25">
      <c r="A637">
        <v>636</v>
      </c>
      <c r="B637" s="2">
        <v>40572</v>
      </c>
      <c r="C637">
        <v>1</v>
      </c>
      <c r="D637">
        <v>1</v>
      </c>
      <c r="E637">
        <v>18</v>
      </c>
      <c r="F637" t="b">
        <v>0</v>
      </c>
      <c r="G637">
        <v>6</v>
      </c>
      <c r="H637">
        <v>1</v>
      </c>
      <c r="I637">
        <v>0.22</v>
      </c>
      <c r="J637">
        <v>0.2273</v>
      </c>
      <c r="K637">
        <v>0.69</v>
      </c>
      <c r="L637">
        <v>0.1343</v>
      </c>
      <c r="M637">
        <v>9</v>
      </c>
      <c r="N637">
        <v>59</v>
      </c>
      <c r="O637">
        <v>68</v>
      </c>
    </row>
    <row r="638" spans="1:15" x14ac:dyDescent="0.25">
      <c r="A638">
        <v>637</v>
      </c>
      <c r="B638" s="2">
        <v>40572</v>
      </c>
      <c r="C638">
        <v>1</v>
      </c>
      <c r="D638">
        <v>1</v>
      </c>
      <c r="E638">
        <v>19</v>
      </c>
      <c r="F638" t="b">
        <v>0</v>
      </c>
      <c r="G638">
        <v>6</v>
      </c>
      <c r="H638">
        <v>2</v>
      </c>
      <c r="I638">
        <v>0.22</v>
      </c>
      <c r="J638">
        <v>0.21210000000000001</v>
      </c>
      <c r="K638">
        <v>0.69</v>
      </c>
      <c r="L638">
        <v>0.25369999999999998</v>
      </c>
      <c r="M638">
        <v>6</v>
      </c>
      <c r="N638">
        <v>52</v>
      </c>
      <c r="O638">
        <v>58</v>
      </c>
    </row>
    <row r="639" spans="1:15" x14ac:dyDescent="0.25">
      <c r="A639">
        <v>638</v>
      </c>
      <c r="B639" s="2">
        <v>40572</v>
      </c>
      <c r="C639">
        <v>1</v>
      </c>
      <c r="D639">
        <v>1</v>
      </c>
      <c r="E639">
        <v>20</v>
      </c>
      <c r="F639" t="b">
        <v>0</v>
      </c>
      <c r="G639">
        <v>6</v>
      </c>
      <c r="H639">
        <v>1</v>
      </c>
      <c r="I639">
        <v>0.18</v>
      </c>
      <c r="J639">
        <v>0.21210000000000001</v>
      </c>
      <c r="K639">
        <v>0.74</v>
      </c>
      <c r="L639">
        <v>8.9599999999999999E-2</v>
      </c>
      <c r="M639">
        <v>1</v>
      </c>
      <c r="N639">
        <v>42</v>
      </c>
      <c r="O639">
        <v>43</v>
      </c>
    </row>
    <row r="640" spans="1:15" x14ac:dyDescent="0.25">
      <c r="A640">
        <v>639</v>
      </c>
      <c r="B640" s="2">
        <v>40572</v>
      </c>
      <c r="C640">
        <v>1</v>
      </c>
      <c r="D640">
        <v>1</v>
      </c>
      <c r="E640">
        <v>21</v>
      </c>
      <c r="F640" t="b">
        <v>0</v>
      </c>
      <c r="G640">
        <v>6</v>
      </c>
      <c r="H640">
        <v>1</v>
      </c>
      <c r="I640">
        <v>0.18</v>
      </c>
      <c r="J640">
        <v>0.21210000000000001</v>
      </c>
      <c r="K640">
        <v>0.74</v>
      </c>
      <c r="L640">
        <v>8.9599999999999999E-2</v>
      </c>
      <c r="M640">
        <v>1</v>
      </c>
      <c r="N640">
        <v>35</v>
      </c>
      <c r="O640">
        <v>36</v>
      </c>
    </row>
    <row r="641" spans="1:15" x14ac:dyDescent="0.25">
      <c r="A641">
        <v>640</v>
      </c>
      <c r="B641" s="2">
        <v>40572</v>
      </c>
      <c r="C641">
        <v>1</v>
      </c>
      <c r="D641">
        <v>1</v>
      </c>
      <c r="E641">
        <v>22</v>
      </c>
      <c r="F641" t="b">
        <v>0</v>
      </c>
      <c r="G641">
        <v>6</v>
      </c>
      <c r="H641">
        <v>1</v>
      </c>
      <c r="I641">
        <v>0.16</v>
      </c>
      <c r="J641">
        <v>0.19700000000000001</v>
      </c>
      <c r="K641">
        <v>0.8</v>
      </c>
      <c r="L641">
        <v>8.9599999999999999E-2</v>
      </c>
      <c r="M641">
        <v>4</v>
      </c>
      <c r="N641">
        <v>28</v>
      </c>
      <c r="O641">
        <v>32</v>
      </c>
    </row>
    <row r="642" spans="1:15" x14ac:dyDescent="0.25">
      <c r="A642">
        <v>641</v>
      </c>
      <c r="B642" s="2">
        <v>40572</v>
      </c>
      <c r="C642">
        <v>1</v>
      </c>
      <c r="D642">
        <v>1</v>
      </c>
      <c r="E642">
        <v>23</v>
      </c>
      <c r="F642" t="b">
        <v>0</v>
      </c>
      <c r="G642">
        <v>6</v>
      </c>
      <c r="H642">
        <v>1</v>
      </c>
      <c r="I642">
        <v>0.16</v>
      </c>
      <c r="J642">
        <v>0.19700000000000001</v>
      </c>
      <c r="K642">
        <v>0.8</v>
      </c>
      <c r="L642">
        <v>8.9599999999999999E-2</v>
      </c>
      <c r="M642">
        <v>3</v>
      </c>
      <c r="N642">
        <v>30</v>
      </c>
      <c r="O642">
        <v>33</v>
      </c>
    </row>
    <row r="643" spans="1:15" x14ac:dyDescent="0.25">
      <c r="A643">
        <v>642</v>
      </c>
      <c r="B643" s="2">
        <v>40573</v>
      </c>
      <c r="C643">
        <v>1</v>
      </c>
      <c r="D643">
        <v>1</v>
      </c>
      <c r="E643">
        <v>0</v>
      </c>
      <c r="F643" t="b">
        <v>0</v>
      </c>
      <c r="G643">
        <v>0</v>
      </c>
      <c r="H643">
        <v>1</v>
      </c>
      <c r="I643">
        <v>0.16</v>
      </c>
      <c r="J643">
        <v>0.18179999999999999</v>
      </c>
      <c r="K643">
        <v>0.8</v>
      </c>
      <c r="L643">
        <v>0.1045</v>
      </c>
      <c r="M643">
        <v>0</v>
      </c>
      <c r="N643">
        <v>33</v>
      </c>
      <c r="O643">
        <v>33</v>
      </c>
    </row>
    <row r="644" spans="1:15" x14ac:dyDescent="0.25">
      <c r="A644">
        <v>643</v>
      </c>
      <c r="B644" s="2">
        <v>40573</v>
      </c>
      <c r="C644">
        <v>1</v>
      </c>
      <c r="D644">
        <v>1</v>
      </c>
      <c r="E644">
        <v>1</v>
      </c>
      <c r="F644" t="b">
        <v>0</v>
      </c>
      <c r="G644">
        <v>0</v>
      </c>
      <c r="H644">
        <v>1</v>
      </c>
      <c r="I644">
        <v>0.14000000000000001</v>
      </c>
      <c r="J644">
        <v>0.21210000000000001</v>
      </c>
      <c r="K644">
        <v>0.8</v>
      </c>
      <c r="L644">
        <f t="shared" ref="L644:L653" si="0">AVERAGE(J644:K644)</f>
        <v>0.50605</v>
      </c>
      <c r="M644">
        <v>7</v>
      </c>
      <c r="N644">
        <v>22</v>
      </c>
      <c r="O644">
        <v>29</v>
      </c>
    </row>
    <row r="645" spans="1:15" x14ac:dyDescent="0.25">
      <c r="A645">
        <v>644</v>
      </c>
      <c r="B645" s="2">
        <v>40573</v>
      </c>
      <c r="C645">
        <v>1</v>
      </c>
      <c r="D645">
        <v>1</v>
      </c>
      <c r="E645">
        <v>2</v>
      </c>
      <c r="F645" t="b">
        <v>0</v>
      </c>
      <c r="G645">
        <v>0</v>
      </c>
      <c r="H645">
        <v>1</v>
      </c>
      <c r="I645">
        <v>0.16</v>
      </c>
      <c r="J645">
        <v>0.2273</v>
      </c>
      <c r="K645">
        <v>0.8</v>
      </c>
      <c r="L645">
        <f t="shared" si="0"/>
        <v>0.51365000000000005</v>
      </c>
      <c r="M645">
        <v>1</v>
      </c>
      <c r="N645">
        <v>10</v>
      </c>
      <c r="O645">
        <v>11</v>
      </c>
    </row>
    <row r="646" spans="1:15" x14ac:dyDescent="0.25">
      <c r="A646">
        <v>645</v>
      </c>
      <c r="B646" s="2">
        <v>40573</v>
      </c>
      <c r="C646">
        <v>1</v>
      </c>
      <c r="D646">
        <v>1</v>
      </c>
      <c r="E646">
        <v>3</v>
      </c>
      <c r="F646" t="b">
        <v>0</v>
      </c>
      <c r="G646">
        <v>0</v>
      </c>
      <c r="H646">
        <v>1</v>
      </c>
      <c r="I646">
        <v>0.14000000000000001</v>
      </c>
      <c r="J646">
        <v>0.21210000000000001</v>
      </c>
      <c r="K646">
        <v>0.93</v>
      </c>
      <c r="L646">
        <f t="shared" si="0"/>
        <v>0.57105000000000006</v>
      </c>
      <c r="M646">
        <v>1</v>
      </c>
      <c r="N646">
        <v>7</v>
      </c>
      <c r="O646">
        <v>8</v>
      </c>
    </row>
    <row r="647" spans="1:15" x14ac:dyDescent="0.25">
      <c r="A647">
        <v>646</v>
      </c>
      <c r="B647" s="2">
        <v>40573</v>
      </c>
      <c r="C647">
        <v>1</v>
      </c>
      <c r="D647">
        <v>1</v>
      </c>
      <c r="E647">
        <v>4</v>
      </c>
      <c r="F647" t="b">
        <v>0</v>
      </c>
      <c r="G647">
        <v>0</v>
      </c>
      <c r="H647">
        <v>1</v>
      </c>
      <c r="I647">
        <v>0.14000000000000001</v>
      </c>
      <c r="J647">
        <v>0.21210000000000001</v>
      </c>
      <c r="K647">
        <v>0.93</v>
      </c>
      <c r="L647">
        <f t="shared" si="0"/>
        <v>0.57105000000000006</v>
      </c>
      <c r="M647">
        <v>0</v>
      </c>
      <c r="N647">
        <v>1</v>
      </c>
      <c r="O647">
        <v>1</v>
      </c>
    </row>
    <row r="648" spans="1:15" x14ac:dyDescent="0.25">
      <c r="A648">
        <v>647</v>
      </c>
      <c r="B648" s="2">
        <v>40573</v>
      </c>
      <c r="C648">
        <v>1</v>
      </c>
      <c r="D648">
        <v>1</v>
      </c>
      <c r="E648">
        <v>5</v>
      </c>
      <c r="F648" t="b">
        <v>0</v>
      </c>
      <c r="G648">
        <v>0</v>
      </c>
      <c r="H648">
        <v>1</v>
      </c>
      <c r="I648">
        <v>0.14000000000000001</v>
      </c>
      <c r="J648">
        <v>0.21210000000000001</v>
      </c>
      <c r="K648">
        <v>0.86</v>
      </c>
      <c r="L648">
        <f t="shared" si="0"/>
        <v>0.53605000000000003</v>
      </c>
      <c r="M648">
        <v>0</v>
      </c>
      <c r="N648">
        <v>3</v>
      </c>
      <c r="O648">
        <v>3</v>
      </c>
    </row>
    <row r="649" spans="1:15" x14ac:dyDescent="0.25">
      <c r="A649">
        <v>648</v>
      </c>
      <c r="B649" s="2">
        <v>40573</v>
      </c>
      <c r="C649">
        <v>1</v>
      </c>
      <c r="D649">
        <v>1</v>
      </c>
      <c r="E649">
        <v>7</v>
      </c>
      <c r="F649" t="b">
        <v>0</v>
      </c>
      <c r="G649">
        <v>0</v>
      </c>
      <c r="H649">
        <v>1</v>
      </c>
      <c r="I649">
        <v>0.14000000000000001</v>
      </c>
      <c r="J649">
        <v>0.21210000000000001</v>
      </c>
      <c r="K649">
        <v>0.86</v>
      </c>
      <c r="L649">
        <f t="shared" si="0"/>
        <v>0.53605000000000003</v>
      </c>
      <c r="M649">
        <v>0</v>
      </c>
      <c r="N649">
        <v>3</v>
      </c>
      <c r="O649">
        <v>3</v>
      </c>
    </row>
    <row r="650" spans="1:15" x14ac:dyDescent="0.25">
      <c r="A650">
        <v>649</v>
      </c>
      <c r="B650" s="2">
        <v>40573</v>
      </c>
      <c r="C650">
        <v>1</v>
      </c>
      <c r="D650">
        <v>1</v>
      </c>
      <c r="E650">
        <v>8</v>
      </c>
      <c r="F650" t="b">
        <v>0</v>
      </c>
      <c r="G650">
        <v>0</v>
      </c>
      <c r="H650">
        <v>2</v>
      </c>
      <c r="I650">
        <v>0.14000000000000001</v>
      </c>
      <c r="J650">
        <v>0.21210000000000001</v>
      </c>
      <c r="K650">
        <v>0.86</v>
      </c>
      <c r="L650">
        <f t="shared" si="0"/>
        <v>0.53605000000000003</v>
      </c>
      <c r="M650">
        <v>1</v>
      </c>
      <c r="N650">
        <v>11</v>
      </c>
      <c r="O650">
        <v>12</v>
      </c>
    </row>
    <row r="651" spans="1:15" x14ac:dyDescent="0.25">
      <c r="A651">
        <v>650</v>
      </c>
      <c r="B651" s="2">
        <v>40573</v>
      </c>
      <c r="C651">
        <v>1</v>
      </c>
      <c r="D651">
        <v>1</v>
      </c>
      <c r="E651">
        <v>9</v>
      </c>
      <c r="F651" t="b">
        <v>0</v>
      </c>
      <c r="G651">
        <v>0</v>
      </c>
      <c r="H651">
        <v>2</v>
      </c>
      <c r="I651">
        <v>0.16</v>
      </c>
      <c r="J651">
        <v>0.2273</v>
      </c>
      <c r="K651">
        <v>0.8</v>
      </c>
      <c r="L651">
        <f t="shared" si="0"/>
        <v>0.51365000000000005</v>
      </c>
      <c r="M651">
        <v>4</v>
      </c>
      <c r="N651">
        <v>34</v>
      </c>
      <c r="O651">
        <v>38</v>
      </c>
    </row>
    <row r="652" spans="1:15" x14ac:dyDescent="0.25">
      <c r="A652">
        <v>651</v>
      </c>
      <c r="B652" s="2">
        <v>40573</v>
      </c>
      <c r="C652">
        <v>1</v>
      </c>
      <c r="D652">
        <v>1</v>
      </c>
      <c r="E652">
        <v>10</v>
      </c>
      <c r="F652" t="b">
        <v>0</v>
      </c>
      <c r="G652">
        <v>0</v>
      </c>
      <c r="H652">
        <v>2</v>
      </c>
      <c r="I652">
        <v>0.18</v>
      </c>
      <c r="J652">
        <v>0.2424</v>
      </c>
      <c r="K652">
        <v>0.8</v>
      </c>
      <c r="L652">
        <f t="shared" si="0"/>
        <v>0.5212</v>
      </c>
      <c r="M652">
        <v>7</v>
      </c>
      <c r="N652">
        <v>57</v>
      </c>
      <c r="O652">
        <v>64</v>
      </c>
    </row>
    <row r="653" spans="1:15" x14ac:dyDescent="0.25">
      <c r="A653">
        <v>652</v>
      </c>
      <c r="B653" s="2">
        <v>40573</v>
      </c>
      <c r="C653">
        <v>1</v>
      </c>
      <c r="D653">
        <v>1</v>
      </c>
      <c r="E653">
        <v>11</v>
      </c>
      <c r="F653" t="b">
        <v>0</v>
      </c>
      <c r="G653">
        <v>0</v>
      </c>
      <c r="H653">
        <v>1</v>
      </c>
      <c r="I653">
        <v>0.22</v>
      </c>
      <c r="J653">
        <v>0.2727</v>
      </c>
      <c r="K653">
        <v>0.75</v>
      </c>
      <c r="L653">
        <f t="shared" si="0"/>
        <v>0.51134999999999997</v>
      </c>
      <c r="M653">
        <v>9</v>
      </c>
      <c r="N653">
        <v>50</v>
      </c>
      <c r="O653">
        <v>59</v>
      </c>
    </row>
    <row r="654" spans="1:15" x14ac:dyDescent="0.25">
      <c r="A654">
        <v>653</v>
      </c>
      <c r="B654" s="2">
        <v>40573</v>
      </c>
      <c r="C654">
        <v>1</v>
      </c>
      <c r="D654">
        <v>1</v>
      </c>
      <c r="E654">
        <v>12</v>
      </c>
      <c r="F654" t="b">
        <v>0</v>
      </c>
      <c r="G654">
        <v>0</v>
      </c>
      <c r="H654">
        <v>1</v>
      </c>
      <c r="I654">
        <v>0.3</v>
      </c>
      <c r="J654">
        <v>0.31819999999999998</v>
      </c>
      <c r="K654">
        <v>0.52</v>
      </c>
      <c r="L654">
        <v>0.1045</v>
      </c>
      <c r="M654">
        <v>10</v>
      </c>
      <c r="N654">
        <v>87</v>
      </c>
      <c r="O654">
        <v>97</v>
      </c>
    </row>
    <row r="655" spans="1:15" x14ac:dyDescent="0.25">
      <c r="A655">
        <v>654</v>
      </c>
      <c r="B655" s="2">
        <v>40573</v>
      </c>
      <c r="C655">
        <v>1</v>
      </c>
      <c r="D655">
        <v>1</v>
      </c>
      <c r="E655">
        <v>13</v>
      </c>
      <c r="F655" t="b">
        <v>0</v>
      </c>
      <c r="G655">
        <v>0</v>
      </c>
      <c r="H655">
        <v>1</v>
      </c>
      <c r="I655">
        <v>0.28000000000000003</v>
      </c>
      <c r="J655">
        <v>0.28789999999999999</v>
      </c>
      <c r="K655">
        <v>0.61</v>
      </c>
      <c r="L655">
        <v>0.1045</v>
      </c>
      <c r="M655">
        <v>13</v>
      </c>
      <c r="N655">
        <v>71</v>
      </c>
      <c r="O655">
        <v>84</v>
      </c>
    </row>
    <row r="656" spans="1:15" x14ac:dyDescent="0.25">
      <c r="A656">
        <v>655</v>
      </c>
      <c r="B656" s="2">
        <v>40573</v>
      </c>
      <c r="C656">
        <v>1</v>
      </c>
      <c r="D656">
        <v>1</v>
      </c>
      <c r="E656">
        <v>14</v>
      </c>
      <c r="F656" t="b">
        <v>0</v>
      </c>
      <c r="G656">
        <v>0</v>
      </c>
      <c r="H656">
        <v>1</v>
      </c>
      <c r="I656">
        <v>0.28000000000000003</v>
      </c>
      <c r="J656">
        <v>0.30299999999999999</v>
      </c>
      <c r="K656">
        <v>0.61</v>
      </c>
      <c r="L656">
        <v>8.9599999999999999E-2</v>
      </c>
      <c r="M656">
        <v>18</v>
      </c>
      <c r="N656">
        <v>104</v>
      </c>
      <c r="O656">
        <v>122</v>
      </c>
    </row>
    <row r="657" spans="1:15" x14ac:dyDescent="0.25">
      <c r="A657">
        <v>656</v>
      </c>
      <c r="B657" s="2">
        <v>40573</v>
      </c>
      <c r="C657">
        <v>1</v>
      </c>
      <c r="D657">
        <v>1</v>
      </c>
      <c r="E657">
        <v>15</v>
      </c>
      <c r="F657" t="b">
        <v>0</v>
      </c>
      <c r="G657">
        <v>0</v>
      </c>
      <c r="H657">
        <v>1</v>
      </c>
      <c r="I657">
        <v>0.3</v>
      </c>
      <c r="J657">
        <v>0.33329999999999999</v>
      </c>
      <c r="K657">
        <v>0.56000000000000005</v>
      </c>
      <c r="L657">
        <f t="shared" ref="L657:L658" si="1">AVERAGE(J657:K657)</f>
        <v>0.44664999999999999</v>
      </c>
      <c r="M657">
        <v>14</v>
      </c>
      <c r="N657">
        <v>95</v>
      </c>
      <c r="O657">
        <v>109</v>
      </c>
    </row>
    <row r="658" spans="1:15" x14ac:dyDescent="0.25">
      <c r="A658">
        <v>657</v>
      </c>
      <c r="B658" s="2">
        <v>40573</v>
      </c>
      <c r="C658">
        <v>1</v>
      </c>
      <c r="D658">
        <v>1</v>
      </c>
      <c r="E658">
        <v>16</v>
      </c>
      <c r="F658" t="b">
        <v>0</v>
      </c>
      <c r="G658">
        <v>0</v>
      </c>
      <c r="H658">
        <v>1</v>
      </c>
      <c r="I658">
        <v>0.3</v>
      </c>
      <c r="J658">
        <v>0.33329999999999999</v>
      </c>
      <c r="K658">
        <v>0.56000000000000005</v>
      </c>
      <c r="L658">
        <f t="shared" si="1"/>
        <v>0.44664999999999999</v>
      </c>
      <c r="M658">
        <v>19</v>
      </c>
      <c r="N658">
        <v>104</v>
      </c>
      <c r="O658">
        <v>123</v>
      </c>
    </row>
    <row r="659" spans="1:15" x14ac:dyDescent="0.25">
      <c r="A659">
        <v>658</v>
      </c>
      <c r="B659" s="2">
        <v>40573</v>
      </c>
      <c r="C659">
        <v>1</v>
      </c>
      <c r="D659">
        <v>1</v>
      </c>
      <c r="E659">
        <v>17</v>
      </c>
      <c r="F659" t="b">
        <v>0</v>
      </c>
      <c r="G659">
        <v>0</v>
      </c>
      <c r="H659">
        <v>1</v>
      </c>
      <c r="I659">
        <v>0.3</v>
      </c>
      <c r="J659">
        <v>0.28789999999999999</v>
      </c>
      <c r="K659">
        <v>0.56000000000000005</v>
      </c>
      <c r="L659">
        <v>0.19400000000000001</v>
      </c>
      <c r="M659">
        <v>6</v>
      </c>
      <c r="N659">
        <v>71</v>
      </c>
      <c r="O659">
        <v>77</v>
      </c>
    </row>
    <row r="660" spans="1:15" x14ac:dyDescent="0.25">
      <c r="A660">
        <v>659</v>
      </c>
      <c r="B660" s="2">
        <v>40573</v>
      </c>
      <c r="C660">
        <v>1</v>
      </c>
      <c r="D660">
        <v>1</v>
      </c>
      <c r="E660">
        <v>18</v>
      </c>
      <c r="F660" t="b">
        <v>0</v>
      </c>
      <c r="G660">
        <v>0</v>
      </c>
      <c r="H660">
        <v>1</v>
      </c>
      <c r="I660">
        <v>0.26</v>
      </c>
      <c r="J660">
        <v>0.2576</v>
      </c>
      <c r="K660">
        <v>0.65</v>
      </c>
      <c r="L660">
        <v>0.16420000000000001</v>
      </c>
      <c r="M660">
        <v>8</v>
      </c>
      <c r="N660">
        <v>57</v>
      </c>
      <c r="O660">
        <v>65</v>
      </c>
    </row>
    <row r="661" spans="1:15" x14ac:dyDescent="0.25">
      <c r="A661">
        <v>660</v>
      </c>
      <c r="B661" s="2">
        <v>40573</v>
      </c>
      <c r="C661">
        <v>1</v>
      </c>
      <c r="D661">
        <v>1</v>
      </c>
      <c r="E661">
        <v>19</v>
      </c>
      <c r="F661" t="b">
        <v>0</v>
      </c>
      <c r="G661">
        <v>0</v>
      </c>
      <c r="H661">
        <v>1</v>
      </c>
      <c r="I661">
        <v>0.26</v>
      </c>
      <c r="J661">
        <v>0.2576</v>
      </c>
      <c r="K661">
        <v>0.65</v>
      </c>
      <c r="L661">
        <v>0.19400000000000001</v>
      </c>
      <c r="M661">
        <v>9</v>
      </c>
      <c r="N661">
        <v>46</v>
      </c>
      <c r="O661">
        <v>55</v>
      </c>
    </row>
    <row r="662" spans="1:15" x14ac:dyDescent="0.25">
      <c r="A662">
        <v>661</v>
      </c>
      <c r="B662" s="2">
        <v>40573</v>
      </c>
      <c r="C662">
        <v>1</v>
      </c>
      <c r="D662">
        <v>1</v>
      </c>
      <c r="E662">
        <v>20</v>
      </c>
      <c r="F662" t="b">
        <v>0</v>
      </c>
      <c r="G662">
        <v>0</v>
      </c>
      <c r="H662">
        <v>2</v>
      </c>
      <c r="I662">
        <v>0.26</v>
      </c>
      <c r="J662">
        <v>0.2727</v>
      </c>
      <c r="K662">
        <v>0.65</v>
      </c>
      <c r="L662">
        <v>0.1045</v>
      </c>
      <c r="M662">
        <v>3</v>
      </c>
      <c r="N662">
        <v>30</v>
      </c>
      <c r="O662">
        <v>33</v>
      </c>
    </row>
    <row r="663" spans="1:15" x14ac:dyDescent="0.25">
      <c r="A663">
        <v>662</v>
      </c>
      <c r="B663" s="2">
        <v>40573</v>
      </c>
      <c r="C663">
        <v>1</v>
      </c>
      <c r="D663">
        <v>1</v>
      </c>
      <c r="E663">
        <v>21</v>
      </c>
      <c r="F663" t="b">
        <v>0</v>
      </c>
      <c r="G663">
        <v>0</v>
      </c>
      <c r="H663">
        <v>2</v>
      </c>
      <c r="I663">
        <v>0.24</v>
      </c>
      <c r="J663">
        <v>0.2424</v>
      </c>
      <c r="K663">
        <v>0.7</v>
      </c>
      <c r="L663">
        <v>0.16420000000000001</v>
      </c>
      <c r="M663">
        <v>3</v>
      </c>
      <c r="N663">
        <v>25</v>
      </c>
      <c r="O663">
        <v>28</v>
      </c>
    </row>
    <row r="664" spans="1:15" x14ac:dyDescent="0.25">
      <c r="A664">
        <v>663</v>
      </c>
      <c r="B664" s="2">
        <v>40573</v>
      </c>
      <c r="C664">
        <v>1</v>
      </c>
      <c r="D664">
        <v>1</v>
      </c>
      <c r="E664">
        <v>22</v>
      </c>
      <c r="F664" t="b">
        <v>0</v>
      </c>
      <c r="G664">
        <v>0</v>
      </c>
      <c r="H664">
        <v>2</v>
      </c>
      <c r="I664">
        <v>0.24</v>
      </c>
      <c r="J664">
        <v>0.2273</v>
      </c>
      <c r="K664">
        <v>0.7</v>
      </c>
      <c r="L664">
        <v>0.19400000000000001</v>
      </c>
      <c r="M664">
        <v>2</v>
      </c>
      <c r="N664">
        <v>19</v>
      </c>
      <c r="O664">
        <v>21</v>
      </c>
    </row>
    <row r="665" spans="1:15" x14ac:dyDescent="0.25">
      <c r="A665">
        <v>664</v>
      </c>
      <c r="B665" s="2">
        <v>40573</v>
      </c>
      <c r="C665">
        <v>1</v>
      </c>
      <c r="D665">
        <v>1</v>
      </c>
      <c r="E665">
        <v>23</v>
      </c>
      <c r="F665" t="b">
        <v>0</v>
      </c>
      <c r="G665">
        <v>0</v>
      </c>
      <c r="H665">
        <v>2</v>
      </c>
      <c r="I665">
        <v>0.24</v>
      </c>
      <c r="J665">
        <v>0.21210000000000001</v>
      </c>
      <c r="K665">
        <v>0.65</v>
      </c>
      <c r="L665">
        <v>0.28360000000000002</v>
      </c>
      <c r="M665">
        <v>5</v>
      </c>
      <c r="N665">
        <v>16</v>
      </c>
      <c r="O665">
        <v>21</v>
      </c>
    </row>
    <row r="666" spans="1:15" x14ac:dyDescent="0.25">
      <c r="A666">
        <v>665</v>
      </c>
      <c r="B666" s="2">
        <v>40574</v>
      </c>
      <c r="C666">
        <v>1</v>
      </c>
      <c r="D666">
        <v>1</v>
      </c>
      <c r="E666">
        <v>0</v>
      </c>
      <c r="F666" t="b">
        <v>0</v>
      </c>
      <c r="G666">
        <v>1</v>
      </c>
      <c r="H666">
        <v>2</v>
      </c>
      <c r="I666">
        <v>0.24</v>
      </c>
      <c r="J666">
        <v>0.2273</v>
      </c>
      <c r="K666">
        <v>0.65</v>
      </c>
      <c r="L666">
        <v>0.22389999999999999</v>
      </c>
      <c r="M666">
        <v>1</v>
      </c>
      <c r="N666">
        <v>6</v>
      </c>
      <c r="O666">
        <v>7</v>
      </c>
    </row>
    <row r="667" spans="1:15" x14ac:dyDescent="0.25">
      <c r="A667">
        <v>666</v>
      </c>
      <c r="B667" s="2">
        <v>40574</v>
      </c>
      <c r="C667">
        <v>1</v>
      </c>
      <c r="D667">
        <v>1</v>
      </c>
      <c r="E667">
        <v>1</v>
      </c>
      <c r="F667" t="b">
        <v>0</v>
      </c>
      <c r="G667">
        <v>1</v>
      </c>
      <c r="H667">
        <v>1</v>
      </c>
      <c r="I667">
        <v>0.22</v>
      </c>
      <c r="J667">
        <v>0.21210000000000001</v>
      </c>
      <c r="K667">
        <v>0.64</v>
      </c>
      <c r="L667">
        <v>0.25369999999999998</v>
      </c>
      <c r="M667">
        <v>2</v>
      </c>
      <c r="N667">
        <v>5</v>
      </c>
      <c r="O667">
        <v>7</v>
      </c>
    </row>
    <row r="668" spans="1:15" x14ac:dyDescent="0.25">
      <c r="A668">
        <v>667</v>
      </c>
      <c r="B668" s="2">
        <v>40574</v>
      </c>
      <c r="C668">
        <v>1</v>
      </c>
      <c r="D668">
        <v>1</v>
      </c>
      <c r="E668">
        <v>2</v>
      </c>
      <c r="F668" t="b">
        <v>0</v>
      </c>
      <c r="G668">
        <v>1</v>
      </c>
      <c r="H668">
        <v>1</v>
      </c>
      <c r="I668">
        <v>0.22</v>
      </c>
      <c r="J668">
        <v>0.2273</v>
      </c>
      <c r="K668">
        <v>0.64</v>
      </c>
      <c r="L668">
        <v>0.19400000000000001</v>
      </c>
      <c r="M668">
        <v>0</v>
      </c>
      <c r="N668">
        <v>1</v>
      </c>
      <c r="O668">
        <v>1</v>
      </c>
    </row>
    <row r="669" spans="1:15" x14ac:dyDescent="0.25">
      <c r="A669">
        <v>668</v>
      </c>
      <c r="B669" s="2">
        <v>40574</v>
      </c>
      <c r="C669">
        <v>1</v>
      </c>
      <c r="D669">
        <v>1</v>
      </c>
      <c r="E669">
        <v>3</v>
      </c>
      <c r="F669" t="b">
        <v>0</v>
      </c>
      <c r="G669">
        <v>1</v>
      </c>
      <c r="H669">
        <v>1</v>
      </c>
      <c r="I669">
        <v>0.22</v>
      </c>
      <c r="J669">
        <v>0.2273</v>
      </c>
      <c r="K669">
        <v>0.64</v>
      </c>
      <c r="L669">
        <v>0.19400000000000001</v>
      </c>
      <c r="M669">
        <v>0</v>
      </c>
      <c r="N669">
        <v>2</v>
      </c>
      <c r="O669">
        <v>2</v>
      </c>
    </row>
    <row r="670" spans="1:15" x14ac:dyDescent="0.25">
      <c r="A670">
        <v>669</v>
      </c>
      <c r="B670" s="2">
        <v>40574</v>
      </c>
      <c r="C670">
        <v>1</v>
      </c>
      <c r="D670">
        <v>1</v>
      </c>
      <c r="E670">
        <v>4</v>
      </c>
      <c r="F670" t="b">
        <v>0</v>
      </c>
      <c r="G670">
        <v>1</v>
      </c>
      <c r="H670">
        <v>1</v>
      </c>
      <c r="I670">
        <v>0.2</v>
      </c>
      <c r="J670">
        <v>0.19700000000000001</v>
      </c>
      <c r="K670">
        <v>0.59</v>
      </c>
      <c r="L670">
        <v>0.22389999999999999</v>
      </c>
      <c r="M670">
        <v>0</v>
      </c>
      <c r="N670">
        <v>2</v>
      </c>
      <c r="O670">
        <v>2</v>
      </c>
    </row>
    <row r="671" spans="1:15" x14ac:dyDescent="0.25">
      <c r="A671">
        <v>670</v>
      </c>
      <c r="B671" s="2">
        <v>40574</v>
      </c>
      <c r="C671">
        <v>1</v>
      </c>
      <c r="D671">
        <v>1</v>
      </c>
      <c r="E671">
        <v>5</v>
      </c>
      <c r="F671" t="b">
        <v>0</v>
      </c>
      <c r="G671">
        <v>1</v>
      </c>
      <c r="H671">
        <v>1</v>
      </c>
      <c r="I671">
        <v>0.18</v>
      </c>
      <c r="J671">
        <v>0.16669999999999999</v>
      </c>
      <c r="K671">
        <v>0.64</v>
      </c>
      <c r="L671">
        <v>0.28360000000000002</v>
      </c>
      <c r="M671">
        <v>0</v>
      </c>
      <c r="N671">
        <v>8</v>
      </c>
      <c r="O671">
        <v>8</v>
      </c>
    </row>
    <row r="672" spans="1:15" x14ac:dyDescent="0.25">
      <c r="A672">
        <v>671</v>
      </c>
      <c r="B672" s="2">
        <v>40574</v>
      </c>
      <c r="C672">
        <v>1</v>
      </c>
      <c r="D672">
        <v>1</v>
      </c>
      <c r="E672">
        <v>6</v>
      </c>
      <c r="F672" t="b">
        <v>0</v>
      </c>
      <c r="G672">
        <v>1</v>
      </c>
      <c r="H672">
        <v>1</v>
      </c>
      <c r="I672">
        <v>0.16</v>
      </c>
      <c r="J672">
        <v>0.13639999999999999</v>
      </c>
      <c r="K672">
        <v>0.69</v>
      </c>
      <c r="L672">
        <v>0.32840000000000003</v>
      </c>
      <c r="M672">
        <v>0</v>
      </c>
      <c r="N672">
        <v>37</v>
      </c>
      <c r="O672">
        <v>37</v>
      </c>
    </row>
    <row r="673" spans="1:15" x14ac:dyDescent="0.25">
      <c r="A673">
        <v>672</v>
      </c>
      <c r="B673" s="2">
        <v>40574</v>
      </c>
      <c r="C673">
        <v>1</v>
      </c>
      <c r="D673">
        <v>1</v>
      </c>
      <c r="E673">
        <v>7</v>
      </c>
      <c r="F673" t="b">
        <v>0</v>
      </c>
      <c r="G673">
        <v>1</v>
      </c>
      <c r="H673">
        <v>2</v>
      </c>
      <c r="I673">
        <v>0.16</v>
      </c>
      <c r="J673">
        <v>0.13639999999999999</v>
      </c>
      <c r="K673">
        <v>0.64</v>
      </c>
      <c r="L673">
        <v>0.28360000000000002</v>
      </c>
      <c r="M673">
        <v>1</v>
      </c>
      <c r="N673">
        <v>71</v>
      </c>
      <c r="O673">
        <v>72</v>
      </c>
    </row>
    <row r="674" spans="1:15" x14ac:dyDescent="0.25">
      <c r="A674">
        <v>673</v>
      </c>
      <c r="B674" s="2">
        <v>40574</v>
      </c>
      <c r="C674">
        <v>1</v>
      </c>
      <c r="D674">
        <v>1</v>
      </c>
      <c r="E674">
        <v>8</v>
      </c>
      <c r="F674" t="b">
        <v>0</v>
      </c>
      <c r="G674">
        <v>1</v>
      </c>
      <c r="H674">
        <v>2</v>
      </c>
      <c r="I674">
        <v>0.16</v>
      </c>
      <c r="J674">
        <v>0.13639999999999999</v>
      </c>
      <c r="K674">
        <v>0.59</v>
      </c>
      <c r="L674">
        <v>0.28360000000000002</v>
      </c>
      <c r="M674">
        <v>3</v>
      </c>
      <c r="N674">
        <v>182</v>
      </c>
      <c r="O674">
        <v>185</v>
      </c>
    </row>
    <row r="675" spans="1:15" x14ac:dyDescent="0.25">
      <c r="A675">
        <v>674</v>
      </c>
      <c r="B675" s="2">
        <v>40574</v>
      </c>
      <c r="C675">
        <v>1</v>
      </c>
      <c r="D675">
        <v>1</v>
      </c>
      <c r="E675">
        <v>9</v>
      </c>
      <c r="F675" t="b">
        <v>0</v>
      </c>
      <c r="G675">
        <v>1</v>
      </c>
      <c r="H675">
        <v>2</v>
      </c>
      <c r="I675">
        <v>0.16</v>
      </c>
      <c r="J675">
        <v>0.13639999999999999</v>
      </c>
      <c r="K675">
        <v>0.59</v>
      </c>
      <c r="L675">
        <v>0.29849999999999999</v>
      </c>
      <c r="M675">
        <v>0</v>
      </c>
      <c r="N675">
        <v>112</v>
      </c>
      <c r="O675">
        <v>112</v>
      </c>
    </row>
    <row r="676" spans="1:15" x14ac:dyDescent="0.25">
      <c r="A676">
        <v>675</v>
      </c>
      <c r="B676" s="2">
        <v>40574</v>
      </c>
      <c r="C676">
        <v>1</v>
      </c>
      <c r="D676">
        <v>1</v>
      </c>
      <c r="E676">
        <v>10</v>
      </c>
      <c r="F676" t="b">
        <v>0</v>
      </c>
      <c r="G676">
        <v>1</v>
      </c>
      <c r="H676">
        <v>2</v>
      </c>
      <c r="I676">
        <v>0.16</v>
      </c>
      <c r="J676">
        <v>0.1515</v>
      </c>
      <c r="K676">
        <v>0.59</v>
      </c>
      <c r="L676">
        <v>0.19400000000000001</v>
      </c>
      <c r="M676">
        <v>1</v>
      </c>
      <c r="N676">
        <v>68</v>
      </c>
      <c r="O676">
        <v>69</v>
      </c>
    </row>
    <row r="677" spans="1:15" x14ac:dyDescent="0.25">
      <c r="A677">
        <v>676</v>
      </c>
      <c r="B677" s="2">
        <v>40574</v>
      </c>
      <c r="C677">
        <v>1</v>
      </c>
      <c r="D677">
        <v>1</v>
      </c>
      <c r="E677">
        <v>11</v>
      </c>
      <c r="F677" t="b">
        <v>0</v>
      </c>
      <c r="G677">
        <v>1</v>
      </c>
      <c r="H677">
        <v>2</v>
      </c>
      <c r="I677">
        <v>0.16</v>
      </c>
      <c r="J677">
        <v>0.1515</v>
      </c>
      <c r="K677">
        <v>0.59</v>
      </c>
      <c r="L677">
        <v>0.19400000000000001</v>
      </c>
      <c r="M677">
        <v>2</v>
      </c>
      <c r="N677">
        <v>46</v>
      </c>
      <c r="O677">
        <v>48</v>
      </c>
    </row>
    <row r="678" spans="1:15" x14ac:dyDescent="0.25">
      <c r="A678">
        <v>677</v>
      </c>
      <c r="B678" s="2">
        <v>40574</v>
      </c>
      <c r="C678">
        <v>1</v>
      </c>
      <c r="D678">
        <v>1</v>
      </c>
      <c r="E678">
        <v>12</v>
      </c>
      <c r="F678" t="b">
        <v>0</v>
      </c>
      <c r="G678">
        <v>1</v>
      </c>
      <c r="H678">
        <v>2</v>
      </c>
      <c r="I678">
        <v>0.18</v>
      </c>
      <c r="J678">
        <v>0.21210000000000001</v>
      </c>
      <c r="K678">
        <v>0.55000000000000004</v>
      </c>
      <c r="L678">
        <v>0.1045</v>
      </c>
      <c r="M678">
        <v>6</v>
      </c>
      <c r="N678">
        <v>62</v>
      </c>
      <c r="O678">
        <v>68</v>
      </c>
    </row>
    <row r="679" spans="1:15" x14ac:dyDescent="0.25">
      <c r="A679">
        <v>678</v>
      </c>
      <c r="B679" s="2">
        <v>40574</v>
      </c>
      <c r="C679">
        <v>1</v>
      </c>
      <c r="D679">
        <v>1</v>
      </c>
      <c r="E679">
        <v>13</v>
      </c>
      <c r="F679" t="b">
        <v>0</v>
      </c>
      <c r="G679">
        <v>1</v>
      </c>
      <c r="H679">
        <v>2</v>
      </c>
      <c r="I679">
        <v>0.16</v>
      </c>
      <c r="J679">
        <v>0.2273</v>
      </c>
      <c r="K679">
        <v>0.59</v>
      </c>
      <c r="L679">
        <f>AVERAGE(J679:K679)</f>
        <v>0.40864999999999996</v>
      </c>
      <c r="M679">
        <v>2</v>
      </c>
      <c r="N679">
        <v>52</v>
      </c>
      <c r="O679">
        <v>54</v>
      </c>
    </row>
    <row r="680" spans="1:15" x14ac:dyDescent="0.25">
      <c r="A680">
        <v>679</v>
      </c>
      <c r="B680" s="2">
        <v>40574</v>
      </c>
      <c r="C680">
        <v>1</v>
      </c>
      <c r="D680">
        <v>1</v>
      </c>
      <c r="E680">
        <v>14</v>
      </c>
      <c r="F680" t="b">
        <v>0</v>
      </c>
      <c r="G680">
        <v>1</v>
      </c>
      <c r="H680">
        <v>2</v>
      </c>
      <c r="I680">
        <v>0.18</v>
      </c>
      <c r="J680">
        <v>0.19700000000000001</v>
      </c>
      <c r="K680">
        <v>0.55000000000000004</v>
      </c>
      <c r="L680">
        <v>0.1343</v>
      </c>
      <c r="M680">
        <v>1</v>
      </c>
      <c r="N680">
        <v>85</v>
      </c>
      <c r="O680">
        <v>86</v>
      </c>
    </row>
    <row r="681" spans="1:15" x14ac:dyDescent="0.25">
      <c r="A681">
        <v>680</v>
      </c>
      <c r="B681" s="2">
        <v>40574</v>
      </c>
      <c r="C681">
        <v>1</v>
      </c>
      <c r="D681">
        <v>1</v>
      </c>
      <c r="E681">
        <v>15</v>
      </c>
      <c r="F681" t="b">
        <v>0</v>
      </c>
      <c r="G681">
        <v>1</v>
      </c>
      <c r="H681">
        <v>2</v>
      </c>
      <c r="I681">
        <v>0.16</v>
      </c>
      <c r="J681">
        <v>0.18179999999999999</v>
      </c>
      <c r="K681">
        <v>0.59</v>
      </c>
      <c r="L681">
        <v>0.1343</v>
      </c>
      <c r="M681">
        <v>3</v>
      </c>
      <c r="N681">
        <v>41</v>
      </c>
      <c r="O681">
        <v>44</v>
      </c>
    </row>
    <row r="682" spans="1:15" x14ac:dyDescent="0.25">
      <c r="A682">
        <v>681</v>
      </c>
      <c r="B682" s="2">
        <v>40574</v>
      </c>
      <c r="C682">
        <v>1</v>
      </c>
      <c r="D682">
        <v>1</v>
      </c>
      <c r="E682">
        <v>16</v>
      </c>
      <c r="F682" t="b">
        <v>0</v>
      </c>
      <c r="G682">
        <v>1</v>
      </c>
      <c r="H682">
        <v>2</v>
      </c>
      <c r="I682">
        <v>0.16</v>
      </c>
      <c r="J682">
        <v>0.18179999999999999</v>
      </c>
      <c r="K682">
        <v>0.56000000000000005</v>
      </c>
      <c r="L682">
        <v>0.19400000000000001</v>
      </c>
      <c r="M682">
        <v>3</v>
      </c>
      <c r="N682">
        <v>83</v>
      </c>
      <c r="O682">
        <v>86</v>
      </c>
    </row>
    <row r="683" spans="1:15" x14ac:dyDescent="0.25">
      <c r="A683">
        <v>682</v>
      </c>
      <c r="B683" s="2">
        <v>40574</v>
      </c>
      <c r="C683">
        <v>1</v>
      </c>
      <c r="D683">
        <v>1</v>
      </c>
      <c r="E683">
        <v>17</v>
      </c>
      <c r="F683" t="b">
        <v>0</v>
      </c>
      <c r="G683">
        <v>1</v>
      </c>
      <c r="H683">
        <v>2</v>
      </c>
      <c r="I683">
        <v>0.16</v>
      </c>
      <c r="J683">
        <v>0.1515</v>
      </c>
      <c r="K683">
        <v>0.59</v>
      </c>
      <c r="L683">
        <v>0.19400000000000001</v>
      </c>
      <c r="M683">
        <v>6</v>
      </c>
      <c r="N683">
        <v>155</v>
      </c>
      <c r="O683">
        <v>161</v>
      </c>
    </row>
    <row r="684" spans="1:15" x14ac:dyDescent="0.25">
      <c r="A684">
        <v>683</v>
      </c>
      <c r="B684" s="2">
        <v>40574</v>
      </c>
      <c r="C684">
        <v>1</v>
      </c>
      <c r="D684">
        <v>1</v>
      </c>
      <c r="E684">
        <v>18</v>
      </c>
      <c r="F684" t="b">
        <v>0</v>
      </c>
      <c r="G684">
        <v>1</v>
      </c>
      <c r="H684">
        <v>2</v>
      </c>
      <c r="I684">
        <v>0.16</v>
      </c>
      <c r="J684">
        <v>0.1515</v>
      </c>
      <c r="K684">
        <v>0.55000000000000004</v>
      </c>
      <c r="L684">
        <v>0.22389999999999999</v>
      </c>
      <c r="M684">
        <v>3</v>
      </c>
      <c r="N684">
        <v>153</v>
      </c>
      <c r="O684">
        <v>156</v>
      </c>
    </row>
    <row r="685" spans="1:15" x14ac:dyDescent="0.25">
      <c r="A685">
        <v>684</v>
      </c>
      <c r="B685" s="2">
        <v>40574</v>
      </c>
      <c r="C685">
        <v>1</v>
      </c>
      <c r="D685">
        <v>1</v>
      </c>
      <c r="E685">
        <v>19</v>
      </c>
      <c r="F685" t="b">
        <v>0</v>
      </c>
      <c r="G685">
        <v>1</v>
      </c>
      <c r="H685">
        <v>1</v>
      </c>
      <c r="I685">
        <v>0.3</v>
      </c>
      <c r="J685">
        <v>0.31819999999999998</v>
      </c>
      <c r="K685">
        <v>0.61</v>
      </c>
      <c r="L685">
        <v>0.1045</v>
      </c>
      <c r="M685">
        <v>3</v>
      </c>
      <c r="N685">
        <v>108</v>
      </c>
      <c r="O685">
        <v>111</v>
      </c>
    </row>
    <row r="686" spans="1:15" x14ac:dyDescent="0.25">
      <c r="A686">
        <v>685</v>
      </c>
      <c r="B686" s="2">
        <v>40574</v>
      </c>
      <c r="C686">
        <v>1</v>
      </c>
      <c r="D686">
        <v>1</v>
      </c>
      <c r="E686">
        <v>20</v>
      </c>
      <c r="F686" t="b">
        <v>0</v>
      </c>
      <c r="G686">
        <v>1</v>
      </c>
      <c r="H686">
        <v>3</v>
      </c>
      <c r="I686">
        <v>0.16</v>
      </c>
      <c r="J686">
        <v>0.16669999999999999</v>
      </c>
      <c r="K686">
        <v>0.59</v>
      </c>
      <c r="L686">
        <v>0.16420000000000001</v>
      </c>
      <c r="M686">
        <v>0</v>
      </c>
      <c r="N686">
        <v>78</v>
      </c>
      <c r="O686">
        <v>78</v>
      </c>
    </row>
    <row r="687" spans="1:15" x14ac:dyDescent="0.25">
      <c r="A687">
        <v>686</v>
      </c>
      <c r="B687" s="2">
        <v>40574</v>
      </c>
      <c r="C687">
        <v>1</v>
      </c>
      <c r="D687">
        <v>1</v>
      </c>
      <c r="E687">
        <v>21</v>
      </c>
      <c r="F687" t="b">
        <v>0</v>
      </c>
      <c r="G687">
        <v>1</v>
      </c>
      <c r="H687">
        <v>3</v>
      </c>
      <c r="I687">
        <v>0.16</v>
      </c>
      <c r="J687">
        <v>0.19700000000000001</v>
      </c>
      <c r="K687">
        <v>0.59</v>
      </c>
      <c r="L687">
        <v>8.9599999999999999E-2</v>
      </c>
      <c r="M687">
        <v>3</v>
      </c>
      <c r="N687">
        <v>53</v>
      </c>
      <c r="O687">
        <v>56</v>
      </c>
    </row>
    <row r="688" spans="1:15" x14ac:dyDescent="0.25">
      <c r="A688">
        <v>687</v>
      </c>
      <c r="B688" s="2">
        <v>40574</v>
      </c>
      <c r="C688">
        <v>1</v>
      </c>
      <c r="D688">
        <v>1</v>
      </c>
      <c r="E688">
        <v>22</v>
      </c>
      <c r="F688" t="b">
        <v>0</v>
      </c>
      <c r="G688">
        <v>1</v>
      </c>
      <c r="H688">
        <v>2</v>
      </c>
      <c r="I688">
        <v>0.16</v>
      </c>
      <c r="J688">
        <v>0.18179999999999999</v>
      </c>
      <c r="K688">
        <v>0.59</v>
      </c>
      <c r="L688">
        <v>0.1045</v>
      </c>
      <c r="M688">
        <v>0</v>
      </c>
      <c r="N688">
        <v>34</v>
      </c>
      <c r="O688">
        <v>34</v>
      </c>
    </row>
    <row r="689" spans="1:15" x14ac:dyDescent="0.25">
      <c r="A689">
        <v>688</v>
      </c>
      <c r="B689" s="2">
        <v>40574</v>
      </c>
      <c r="C689">
        <v>1</v>
      </c>
      <c r="D689">
        <v>1</v>
      </c>
      <c r="E689">
        <v>23</v>
      </c>
      <c r="F689" t="b">
        <v>0</v>
      </c>
      <c r="G689">
        <v>1</v>
      </c>
      <c r="H689">
        <v>2</v>
      </c>
      <c r="I689">
        <v>0.16</v>
      </c>
      <c r="J689">
        <v>0.19700000000000001</v>
      </c>
      <c r="K689">
        <v>0.64</v>
      </c>
      <c r="L689">
        <v>8.9599999999999999E-2</v>
      </c>
      <c r="M689">
        <v>2</v>
      </c>
      <c r="N689">
        <v>15</v>
      </c>
      <c r="O689">
        <v>17</v>
      </c>
    </row>
    <row r="690" spans="1:15" x14ac:dyDescent="0.25">
      <c r="A690">
        <v>689</v>
      </c>
      <c r="B690" s="2">
        <v>40575</v>
      </c>
      <c r="C690">
        <v>1</v>
      </c>
      <c r="D690">
        <v>2</v>
      </c>
      <c r="E690">
        <v>0</v>
      </c>
      <c r="F690" t="b">
        <v>0</v>
      </c>
      <c r="G690">
        <v>2</v>
      </c>
      <c r="H690">
        <v>2</v>
      </c>
      <c r="I690">
        <v>0.16</v>
      </c>
      <c r="J690">
        <v>0.18179999999999999</v>
      </c>
      <c r="K690">
        <v>0.64</v>
      </c>
      <c r="L690">
        <v>0.1045</v>
      </c>
      <c r="M690">
        <v>2</v>
      </c>
      <c r="N690">
        <v>6</v>
      </c>
      <c r="O690">
        <v>8</v>
      </c>
    </row>
    <row r="691" spans="1:15" x14ac:dyDescent="0.25">
      <c r="A691">
        <v>690</v>
      </c>
      <c r="B691" s="2">
        <v>40575</v>
      </c>
      <c r="C691">
        <v>1</v>
      </c>
      <c r="D691">
        <v>2</v>
      </c>
      <c r="E691">
        <v>1</v>
      </c>
      <c r="F691" t="b">
        <v>0</v>
      </c>
      <c r="G691">
        <v>2</v>
      </c>
      <c r="H691">
        <v>2</v>
      </c>
      <c r="I691">
        <v>0.16</v>
      </c>
      <c r="J691">
        <v>0.18179999999999999</v>
      </c>
      <c r="K691">
        <v>0.69</v>
      </c>
      <c r="L691">
        <v>0.1045</v>
      </c>
      <c r="M691">
        <v>0</v>
      </c>
      <c r="N691">
        <v>3</v>
      </c>
      <c r="O691">
        <v>3</v>
      </c>
    </row>
    <row r="692" spans="1:15" x14ac:dyDescent="0.25">
      <c r="A692">
        <v>691</v>
      </c>
      <c r="B692" s="2">
        <v>40575</v>
      </c>
      <c r="C692">
        <v>1</v>
      </c>
      <c r="D692">
        <v>2</v>
      </c>
      <c r="E692">
        <v>2</v>
      </c>
      <c r="F692" t="b">
        <v>0</v>
      </c>
      <c r="G692">
        <v>2</v>
      </c>
      <c r="H692">
        <v>2</v>
      </c>
      <c r="I692">
        <v>0.16</v>
      </c>
      <c r="J692">
        <v>0.2273</v>
      </c>
      <c r="K692">
        <v>0.69</v>
      </c>
      <c r="L692">
        <f t="shared" ref="L692:L706" si="2">AVERAGE(J692:K692)</f>
        <v>0.45865</v>
      </c>
      <c r="M692">
        <v>0</v>
      </c>
      <c r="N692">
        <v>2</v>
      </c>
      <c r="O692">
        <v>2</v>
      </c>
    </row>
    <row r="693" spans="1:15" x14ac:dyDescent="0.25">
      <c r="A693">
        <v>692</v>
      </c>
      <c r="B693" s="2">
        <v>40575</v>
      </c>
      <c r="C693">
        <v>1</v>
      </c>
      <c r="D693">
        <v>2</v>
      </c>
      <c r="E693">
        <v>3</v>
      </c>
      <c r="F693" t="b">
        <v>0</v>
      </c>
      <c r="G693">
        <v>2</v>
      </c>
      <c r="H693">
        <v>2</v>
      </c>
      <c r="I693">
        <v>0.16</v>
      </c>
      <c r="J693">
        <v>0.2273</v>
      </c>
      <c r="K693">
        <v>0.69</v>
      </c>
      <c r="L693">
        <f t="shared" si="2"/>
        <v>0.45865</v>
      </c>
      <c r="M693">
        <v>0</v>
      </c>
      <c r="N693">
        <v>2</v>
      </c>
      <c r="O693">
        <v>2</v>
      </c>
    </row>
    <row r="694" spans="1:15" x14ac:dyDescent="0.25">
      <c r="A694">
        <v>693</v>
      </c>
      <c r="B694" s="2">
        <v>40575</v>
      </c>
      <c r="C694">
        <v>1</v>
      </c>
      <c r="D694">
        <v>2</v>
      </c>
      <c r="E694">
        <v>5</v>
      </c>
      <c r="F694" t="b">
        <v>0</v>
      </c>
      <c r="G694">
        <v>2</v>
      </c>
      <c r="H694">
        <v>3</v>
      </c>
      <c r="I694">
        <v>0.14000000000000001</v>
      </c>
      <c r="J694">
        <v>0.21210000000000001</v>
      </c>
      <c r="K694">
        <v>0.93</v>
      </c>
      <c r="L694">
        <f t="shared" si="2"/>
        <v>0.57105000000000006</v>
      </c>
      <c r="M694">
        <v>0</v>
      </c>
      <c r="N694">
        <v>3</v>
      </c>
      <c r="O694">
        <v>3</v>
      </c>
    </row>
    <row r="695" spans="1:15" x14ac:dyDescent="0.25">
      <c r="A695">
        <v>694</v>
      </c>
      <c r="B695" s="2">
        <v>40575</v>
      </c>
      <c r="C695">
        <v>1</v>
      </c>
      <c r="D695">
        <v>2</v>
      </c>
      <c r="E695">
        <v>6</v>
      </c>
      <c r="F695" t="b">
        <v>0</v>
      </c>
      <c r="G695">
        <v>2</v>
      </c>
      <c r="H695">
        <v>3</v>
      </c>
      <c r="I695">
        <v>0.14000000000000001</v>
      </c>
      <c r="J695">
        <v>0.21210000000000001</v>
      </c>
      <c r="K695">
        <v>0.93</v>
      </c>
      <c r="L695">
        <f t="shared" si="2"/>
        <v>0.57105000000000006</v>
      </c>
      <c r="M695">
        <v>0</v>
      </c>
      <c r="N695">
        <v>22</v>
      </c>
      <c r="O695">
        <v>22</v>
      </c>
    </row>
    <row r="696" spans="1:15" x14ac:dyDescent="0.25">
      <c r="A696">
        <v>695</v>
      </c>
      <c r="B696" s="2">
        <v>40575</v>
      </c>
      <c r="C696">
        <v>1</v>
      </c>
      <c r="D696">
        <v>2</v>
      </c>
      <c r="E696">
        <v>7</v>
      </c>
      <c r="F696" t="b">
        <v>0</v>
      </c>
      <c r="G696">
        <v>2</v>
      </c>
      <c r="H696">
        <v>3</v>
      </c>
      <c r="I696">
        <v>0.16</v>
      </c>
      <c r="J696">
        <v>0.2273</v>
      </c>
      <c r="K696">
        <v>0.93</v>
      </c>
      <c r="L696">
        <f t="shared" si="2"/>
        <v>0.57865</v>
      </c>
      <c r="M696">
        <v>0</v>
      </c>
      <c r="N696">
        <v>52</v>
      </c>
      <c r="O696">
        <v>52</v>
      </c>
    </row>
    <row r="697" spans="1:15" x14ac:dyDescent="0.25">
      <c r="A697">
        <v>696</v>
      </c>
      <c r="B697" s="2">
        <v>40575</v>
      </c>
      <c r="C697">
        <v>1</v>
      </c>
      <c r="D697">
        <v>2</v>
      </c>
      <c r="E697">
        <v>8</v>
      </c>
      <c r="F697" t="b">
        <v>0</v>
      </c>
      <c r="G697">
        <v>2</v>
      </c>
      <c r="H697">
        <v>3</v>
      </c>
      <c r="I697">
        <v>0.16</v>
      </c>
      <c r="J697">
        <v>0.2273</v>
      </c>
      <c r="K697">
        <v>0.93</v>
      </c>
      <c r="L697">
        <f t="shared" si="2"/>
        <v>0.57865</v>
      </c>
      <c r="M697">
        <v>3</v>
      </c>
      <c r="N697">
        <v>132</v>
      </c>
      <c r="O697">
        <v>135</v>
      </c>
    </row>
    <row r="698" spans="1:15" x14ac:dyDescent="0.25">
      <c r="A698">
        <v>697</v>
      </c>
      <c r="B698" s="2">
        <v>40575</v>
      </c>
      <c r="C698">
        <v>1</v>
      </c>
      <c r="D698">
        <v>2</v>
      </c>
      <c r="E698">
        <v>9</v>
      </c>
      <c r="F698" t="b">
        <v>0</v>
      </c>
      <c r="G698">
        <v>2</v>
      </c>
      <c r="H698">
        <v>2</v>
      </c>
      <c r="I698">
        <v>0.16</v>
      </c>
      <c r="J698">
        <v>0.2273</v>
      </c>
      <c r="K698">
        <v>0.93</v>
      </c>
      <c r="L698">
        <f t="shared" si="2"/>
        <v>0.57865</v>
      </c>
      <c r="M698">
        <v>2</v>
      </c>
      <c r="N698">
        <v>114</v>
      </c>
      <c r="O698">
        <v>116</v>
      </c>
    </row>
    <row r="699" spans="1:15" x14ac:dyDescent="0.25">
      <c r="A699">
        <v>698</v>
      </c>
      <c r="B699" s="2">
        <v>40575</v>
      </c>
      <c r="C699">
        <v>1</v>
      </c>
      <c r="D699">
        <v>2</v>
      </c>
      <c r="E699">
        <v>10</v>
      </c>
      <c r="F699" t="b">
        <v>0</v>
      </c>
      <c r="G699">
        <v>2</v>
      </c>
      <c r="H699">
        <v>2</v>
      </c>
      <c r="I699">
        <v>0.16</v>
      </c>
      <c r="J699">
        <v>0.2273</v>
      </c>
      <c r="K699">
        <v>0.93</v>
      </c>
      <c r="L699">
        <f t="shared" si="2"/>
        <v>0.57865</v>
      </c>
      <c r="M699">
        <v>0</v>
      </c>
      <c r="N699">
        <v>47</v>
      </c>
      <c r="O699">
        <v>47</v>
      </c>
    </row>
    <row r="700" spans="1:15" x14ac:dyDescent="0.25">
      <c r="A700">
        <v>699</v>
      </c>
      <c r="B700" s="2">
        <v>40575</v>
      </c>
      <c r="C700">
        <v>1</v>
      </c>
      <c r="D700">
        <v>2</v>
      </c>
      <c r="E700">
        <v>11</v>
      </c>
      <c r="F700" t="b">
        <v>0</v>
      </c>
      <c r="G700">
        <v>2</v>
      </c>
      <c r="H700">
        <v>2</v>
      </c>
      <c r="I700">
        <v>0.18</v>
      </c>
      <c r="J700">
        <v>0.2424</v>
      </c>
      <c r="K700">
        <v>0.86</v>
      </c>
      <c r="L700">
        <f t="shared" si="2"/>
        <v>0.55120000000000002</v>
      </c>
      <c r="M700">
        <v>2</v>
      </c>
      <c r="N700">
        <v>49</v>
      </c>
      <c r="O700">
        <v>51</v>
      </c>
    </row>
    <row r="701" spans="1:15" x14ac:dyDescent="0.25">
      <c r="A701">
        <v>700</v>
      </c>
      <c r="B701" s="2">
        <v>40575</v>
      </c>
      <c r="C701">
        <v>1</v>
      </c>
      <c r="D701">
        <v>2</v>
      </c>
      <c r="E701">
        <v>12</v>
      </c>
      <c r="F701" t="b">
        <v>0</v>
      </c>
      <c r="G701">
        <v>2</v>
      </c>
      <c r="H701">
        <v>2</v>
      </c>
      <c r="I701">
        <v>0.2</v>
      </c>
      <c r="J701">
        <v>0.2576</v>
      </c>
      <c r="K701">
        <v>0.86</v>
      </c>
      <c r="L701">
        <f t="shared" si="2"/>
        <v>0.55879999999999996</v>
      </c>
      <c r="M701">
        <v>2</v>
      </c>
      <c r="N701">
        <v>53</v>
      </c>
      <c r="O701">
        <v>55</v>
      </c>
    </row>
    <row r="702" spans="1:15" x14ac:dyDescent="0.25">
      <c r="A702">
        <v>701</v>
      </c>
      <c r="B702" s="2">
        <v>40575</v>
      </c>
      <c r="C702">
        <v>1</v>
      </c>
      <c r="D702">
        <v>2</v>
      </c>
      <c r="E702">
        <v>13</v>
      </c>
      <c r="F702" t="b">
        <v>0</v>
      </c>
      <c r="G702">
        <v>2</v>
      </c>
      <c r="H702">
        <v>2</v>
      </c>
      <c r="I702">
        <v>0.2</v>
      </c>
      <c r="J702">
        <v>0.2576</v>
      </c>
      <c r="K702">
        <v>0.86</v>
      </c>
      <c r="L702">
        <f t="shared" si="2"/>
        <v>0.55879999999999996</v>
      </c>
      <c r="M702">
        <v>3</v>
      </c>
      <c r="N702">
        <v>49</v>
      </c>
      <c r="O702">
        <v>52</v>
      </c>
    </row>
    <row r="703" spans="1:15" x14ac:dyDescent="0.25">
      <c r="A703">
        <v>702</v>
      </c>
      <c r="B703" s="2">
        <v>40575</v>
      </c>
      <c r="C703">
        <v>1</v>
      </c>
      <c r="D703">
        <v>2</v>
      </c>
      <c r="E703">
        <v>14</v>
      </c>
      <c r="F703" t="b">
        <v>0</v>
      </c>
      <c r="G703">
        <v>2</v>
      </c>
      <c r="H703">
        <v>2</v>
      </c>
      <c r="I703">
        <v>0.22</v>
      </c>
      <c r="J703">
        <v>0.2576</v>
      </c>
      <c r="K703">
        <v>0.8</v>
      </c>
      <c r="L703">
        <v>8.9599999999999999E-2</v>
      </c>
      <c r="M703">
        <v>5</v>
      </c>
      <c r="N703">
        <v>49</v>
      </c>
      <c r="O703">
        <v>54</v>
      </c>
    </row>
    <row r="704" spans="1:15" x14ac:dyDescent="0.25">
      <c r="A704">
        <v>703</v>
      </c>
      <c r="B704" s="2">
        <v>40575</v>
      </c>
      <c r="C704">
        <v>1</v>
      </c>
      <c r="D704">
        <v>2</v>
      </c>
      <c r="E704">
        <v>15</v>
      </c>
      <c r="F704" t="b">
        <v>0</v>
      </c>
      <c r="G704">
        <v>2</v>
      </c>
      <c r="H704">
        <v>2</v>
      </c>
      <c r="I704">
        <v>0.24</v>
      </c>
      <c r="J704">
        <v>0.28789999999999999</v>
      </c>
      <c r="K704">
        <v>0.75</v>
      </c>
      <c r="L704">
        <f t="shared" si="2"/>
        <v>0.51895000000000002</v>
      </c>
      <c r="M704">
        <v>7</v>
      </c>
      <c r="N704">
        <v>45</v>
      </c>
      <c r="O704">
        <v>52</v>
      </c>
    </row>
    <row r="705" spans="1:15" x14ac:dyDescent="0.25">
      <c r="A705">
        <v>704</v>
      </c>
      <c r="B705" s="2">
        <v>40575</v>
      </c>
      <c r="C705">
        <v>1</v>
      </c>
      <c r="D705">
        <v>2</v>
      </c>
      <c r="E705">
        <v>16</v>
      </c>
      <c r="F705" t="b">
        <v>0</v>
      </c>
      <c r="G705">
        <v>2</v>
      </c>
      <c r="H705">
        <v>2</v>
      </c>
      <c r="I705">
        <v>0.24</v>
      </c>
      <c r="J705">
        <v>0.2424</v>
      </c>
      <c r="K705">
        <v>0.75</v>
      </c>
      <c r="L705">
        <v>0.1343</v>
      </c>
      <c r="M705">
        <v>3</v>
      </c>
      <c r="N705">
        <v>61</v>
      </c>
      <c r="O705">
        <v>64</v>
      </c>
    </row>
    <row r="706" spans="1:15" x14ac:dyDescent="0.25">
      <c r="A706">
        <v>705</v>
      </c>
      <c r="B706" s="2">
        <v>40575</v>
      </c>
      <c r="C706">
        <v>1</v>
      </c>
      <c r="D706">
        <v>2</v>
      </c>
      <c r="E706">
        <v>17</v>
      </c>
      <c r="F706" t="b">
        <v>0</v>
      </c>
      <c r="G706">
        <v>2</v>
      </c>
      <c r="H706">
        <v>2</v>
      </c>
      <c r="I706">
        <v>0.24</v>
      </c>
      <c r="J706">
        <v>0.28789999999999999</v>
      </c>
      <c r="K706">
        <v>0.75</v>
      </c>
      <c r="L706">
        <f t="shared" si="2"/>
        <v>0.51895000000000002</v>
      </c>
      <c r="M706">
        <v>4</v>
      </c>
      <c r="N706">
        <v>172</v>
      </c>
      <c r="O706">
        <v>176</v>
      </c>
    </row>
    <row r="707" spans="1:15" x14ac:dyDescent="0.25">
      <c r="A707">
        <v>706</v>
      </c>
      <c r="B707" s="2">
        <v>40575</v>
      </c>
      <c r="C707">
        <v>1</v>
      </c>
      <c r="D707">
        <v>2</v>
      </c>
      <c r="E707">
        <v>18</v>
      </c>
      <c r="F707" t="b">
        <v>0</v>
      </c>
      <c r="G707">
        <v>2</v>
      </c>
      <c r="H707">
        <v>2</v>
      </c>
      <c r="I707">
        <v>0.24</v>
      </c>
      <c r="J707">
        <v>0.2576</v>
      </c>
      <c r="K707">
        <v>0.81</v>
      </c>
      <c r="L707">
        <v>0.1045</v>
      </c>
      <c r="M707">
        <v>3</v>
      </c>
      <c r="N707">
        <v>165</v>
      </c>
      <c r="O707">
        <v>168</v>
      </c>
    </row>
    <row r="708" spans="1:15" x14ac:dyDescent="0.25">
      <c r="A708">
        <v>707</v>
      </c>
      <c r="B708" s="2">
        <v>40575</v>
      </c>
      <c r="C708">
        <v>1</v>
      </c>
      <c r="D708">
        <v>2</v>
      </c>
      <c r="E708">
        <v>19</v>
      </c>
      <c r="F708" t="b">
        <v>0</v>
      </c>
      <c r="G708">
        <v>2</v>
      </c>
      <c r="H708">
        <v>2</v>
      </c>
      <c r="I708">
        <v>0.24</v>
      </c>
      <c r="J708">
        <v>0.2424</v>
      </c>
      <c r="K708">
        <v>0.81</v>
      </c>
      <c r="L708">
        <v>0.1343</v>
      </c>
      <c r="M708">
        <v>3</v>
      </c>
      <c r="N708">
        <v>105</v>
      </c>
      <c r="O708">
        <v>108</v>
      </c>
    </row>
    <row r="709" spans="1:15" x14ac:dyDescent="0.25">
      <c r="A709">
        <v>708</v>
      </c>
      <c r="B709" s="2">
        <v>40575</v>
      </c>
      <c r="C709">
        <v>1</v>
      </c>
      <c r="D709">
        <v>2</v>
      </c>
      <c r="E709">
        <v>20</v>
      </c>
      <c r="F709" t="b">
        <v>0</v>
      </c>
      <c r="G709">
        <v>2</v>
      </c>
      <c r="H709">
        <v>2</v>
      </c>
      <c r="I709">
        <v>0.22</v>
      </c>
      <c r="J709">
        <v>0.2273</v>
      </c>
      <c r="K709">
        <v>0.87</v>
      </c>
      <c r="L709">
        <v>0.1343</v>
      </c>
      <c r="M709">
        <v>5</v>
      </c>
      <c r="N709">
        <v>69</v>
      </c>
      <c r="O709">
        <v>74</v>
      </c>
    </row>
    <row r="710" spans="1:15" x14ac:dyDescent="0.25">
      <c r="A710">
        <v>709</v>
      </c>
      <c r="B710" s="2">
        <v>40575</v>
      </c>
      <c r="C710">
        <v>1</v>
      </c>
      <c r="D710">
        <v>2</v>
      </c>
      <c r="E710">
        <v>21</v>
      </c>
      <c r="F710" t="b">
        <v>0</v>
      </c>
      <c r="G710">
        <v>2</v>
      </c>
      <c r="H710">
        <v>2</v>
      </c>
      <c r="I710">
        <v>0.22</v>
      </c>
      <c r="J710">
        <v>0.2273</v>
      </c>
      <c r="K710">
        <v>0.87</v>
      </c>
      <c r="L710">
        <v>0.1343</v>
      </c>
      <c r="M710">
        <v>0</v>
      </c>
      <c r="N710">
        <v>64</v>
      </c>
      <c r="O710">
        <v>64</v>
      </c>
    </row>
    <row r="711" spans="1:15" x14ac:dyDescent="0.25">
      <c r="A711">
        <v>710</v>
      </c>
      <c r="B711" s="2">
        <v>40575</v>
      </c>
      <c r="C711">
        <v>1</v>
      </c>
      <c r="D711">
        <v>2</v>
      </c>
      <c r="E711">
        <v>22</v>
      </c>
      <c r="F711" t="b">
        <v>0</v>
      </c>
      <c r="G711">
        <v>2</v>
      </c>
      <c r="H711">
        <v>2</v>
      </c>
      <c r="I711">
        <v>0.22</v>
      </c>
      <c r="J711">
        <v>0.2576</v>
      </c>
      <c r="K711">
        <v>0.87</v>
      </c>
      <c r="L711">
        <v>8.9599999999999999E-2</v>
      </c>
      <c r="M711">
        <v>2</v>
      </c>
      <c r="N711">
        <v>34</v>
      </c>
      <c r="O711">
        <v>36</v>
      </c>
    </row>
    <row r="712" spans="1:15" x14ac:dyDescent="0.25">
      <c r="A712">
        <v>711</v>
      </c>
      <c r="B712" s="2">
        <v>40575</v>
      </c>
      <c r="C712">
        <v>1</v>
      </c>
      <c r="D712">
        <v>2</v>
      </c>
      <c r="E712">
        <v>23</v>
      </c>
      <c r="F712" t="b">
        <v>0</v>
      </c>
      <c r="G712">
        <v>2</v>
      </c>
      <c r="H712">
        <v>3</v>
      </c>
      <c r="I712">
        <v>0.2</v>
      </c>
      <c r="J712">
        <v>0.19700000000000001</v>
      </c>
      <c r="K712">
        <v>0.93</v>
      </c>
      <c r="L712">
        <v>0.19400000000000001</v>
      </c>
      <c r="M712">
        <v>1</v>
      </c>
      <c r="N712">
        <v>15</v>
      </c>
      <c r="O712">
        <v>16</v>
      </c>
    </row>
    <row r="713" spans="1:15" x14ac:dyDescent="0.25">
      <c r="A713">
        <v>712</v>
      </c>
      <c r="B713" s="2">
        <v>40576</v>
      </c>
      <c r="C713">
        <v>1</v>
      </c>
      <c r="D713">
        <v>2</v>
      </c>
      <c r="E713">
        <v>0</v>
      </c>
      <c r="F713" t="b">
        <v>0</v>
      </c>
      <c r="G713">
        <v>3</v>
      </c>
      <c r="H713">
        <v>3</v>
      </c>
      <c r="I713">
        <v>0.22</v>
      </c>
      <c r="J713">
        <v>0.2424</v>
      </c>
      <c r="K713">
        <v>0.93</v>
      </c>
      <c r="L713">
        <v>0.1045</v>
      </c>
      <c r="M713">
        <v>0</v>
      </c>
      <c r="N713">
        <v>2</v>
      </c>
      <c r="O713">
        <v>2</v>
      </c>
    </row>
    <row r="714" spans="1:15" x14ac:dyDescent="0.25">
      <c r="A714">
        <v>713</v>
      </c>
      <c r="B714" s="2">
        <v>40576</v>
      </c>
      <c r="C714">
        <v>1</v>
      </c>
      <c r="D714">
        <v>2</v>
      </c>
      <c r="E714">
        <v>1</v>
      </c>
      <c r="F714" t="b">
        <v>0</v>
      </c>
      <c r="G714">
        <v>3</v>
      </c>
      <c r="H714">
        <v>3</v>
      </c>
      <c r="I714">
        <v>0.22</v>
      </c>
      <c r="J714">
        <v>0.2273</v>
      </c>
      <c r="K714">
        <v>0.93</v>
      </c>
      <c r="L714">
        <v>0.19400000000000001</v>
      </c>
      <c r="M714">
        <v>0</v>
      </c>
      <c r="N714">
        <v>3</v>
      </c>
      <c r="O714">
        <v>3</v>
      </c>
    </row>
    <row r="715" spans="1:15" x14ac:dyDescent="0.25">
      <c r="A715">
        <v>714</v>
      </c>
      <c r="B715" s="2">
        <v>40576</v>
      </c>
      <c r="C715">
        <v>1</v>
      </c>
      <c r="D715">
        <v>2</v>
      </c>
      <c r="E715">
        <v>2</v>
      </c>
      <c r="F715" t="b">
        <v>0</v>
      </c>
      <c r="G715">
        <v>3</v>
      </c>
      <c r="H715">
        <v>3</v>
      </c>
      <c r="I715">
        <v>0.22</v>
      </c>
      <c r="J715">
        <v>0.2273</v>
      </c>
      <c r="K715">
        <v>0.93</v>
      </c>
      <c r="L715">
        <v>0.1343</v>
      </c>
      <c r="M715">
        <v>4</v>
      </c>
      <c r="N715">
        <v>0</v>
      </c>
      <c r="O715">
        <v>4</v>
      </c>
    </row>
    <row r="716" spans="1:15" x14ac:dyDescent="0.25">
      <c r="A716">
        <v>715</v>
      </c>
      <c r="B716" s="2">
        <v>40576</v>
      </c>
      <c r="C716">
        <v>1</v>
      </c>
      <c r="D716">
        <v>2</v>
      </c>
      <c r="E716">
        <v>3</v>
      </c>
      <c r="F716" t="b">
        <v>0</v>
      </c>
      <c r="G716">
        <v>3</v>
      </c>
      <c r="H716">
        <v>3</v>
      </c>
      <c r="I716">
        <v>0.22</v>
      </c>
      <c r="J716">
        <v>0.2273</v>
      </c>
      <c r="K716">
        <v>0.93</v>
      </c>
      <c r="L716">
        <v>0.1343</v>
      </c>
      <c r="M716">
        <v>0</v>
      </c>
      <c r="N716">
        <v>1</v>
      </c>
      <c r="O716">
        <v>1</v>
      </c>
    </row>
    <row r="717" spans="1:15" x14ac:dyDescent="0.25">
      <c r="A717">
        <v>716</v>
      </c>
      <c r="B717" s="2">
        <v>40576</v>
      </c>
      <c r="C717">
        <v>1</v>
      </c>
      <c r="D717">
        <v>2</v>
      </c>
      <c r="E717">
        <v>4</v>
      </c>
      <c r="F717" t="b">
        <v>0</v>
      </c>
      <c r="G717">
        <v>3</v>
      </c>
      <c r="H717">
        <v>3</v>
      </c>
      <c r="I717">
        <v>0.22</v>
      </c>
      <c r="J717">
        <v>0.21210000000000001</v>
      </c>
      <c r="K717">
        <v>0.93</v>
      </c>
      <c r="L717">
        <v>0.28360000000000002</v>
      </c>
      <c r="M717">
        <v>0</v>
      </c>
      <c r="N717">
        <v>1</v>
      </c>
      <c r="O717">
        <v>1</v>
      </c>
    </row>
    <row r="718" spans="1:15" x14ac:dyDescent="0.25">
      <c r="A718">
        <v>717</v>
      </c>
      <c r="B718" s="2">
        <v>40576</v>
      </c>
      <c r="C718">
        <v>1</v>
      </c>
      <c r="D718">
        <v>2</v>
      </c>
      <c r="E718">
        <v>5</v>
      </c>
      <c r="F718" t="b">
        <v>0</v>
      </c>
      <c r="G718">
        <v>3</v>
      </c>
      <c r="H718">
        <v>3</v>
      </c>
      <c r="I718">
        <v>0.22</v>
      </c>
      <c r="J718">
        <v>0.2424</v>
      </c>
      <c r="K718">
        <v>0.93</v>
      </c>
      <c r="L718">
        <v>0.1045</v>
      </c>
      <c r="M718">
        <v>0</v>
      </c>
      <c r="N718">
        <v>3</v>
      </c>
      <c r="O718">
        <v>3</v>
      </c>
    </row>
    <row r="719" spans="1:15" x14ac:dyDescent="0.25">
      <c r="A719">
        <v>718</v>
      </c>
      <c r="B719" s="2">
        <v>40576</v>
      </c>
      <c r="C719">
        <v>1</v>
      </c>
      <c r="D719">
        <v>2</v>
      </c>
      <c r="E719">
        <v>6</v>
      </c>
      <c r="F719" t="b">
        <v>0</v>
      </c>
      <c r="G719">
        <v>3</v>
      </c>
      <c r="H719">
        <v>3</v>
      </c>
      <c r="I719">
        <v>0.22</v>
      </c>
      <c r="J719">
        <v>0.2424</v>
      </c>
      <c r="K719">
        <v>0.93</v>
      </c>
      <c r="L719">
        <v>0.1045</v>
      </c>
      <c r="M719">
        <v>1</v>
      </c>
      <c r="N719">
        <v>17</v>
      </c>
      <c r="O719">
        <v>18</v>
      </c>
    </row>
    <row r="720" spans="1:15" x14ac:dyDescent="0.25">
      <c r="A720">
        <v>719</v>
      </c>
      <c r="B720" s="2">
        <v>40576</v>
      </c>
      <c r="C720">
        <v>1</v>
      </c>
      <c r="D720">
        <v>2</v>
      </c>
      <c r="E720">
        <v>7</v>
      </c>
      <c r="F720" t="b">
        <v>0</v>
      </c>
      <c r="G720">
        <v>3</v>
      </c>
      <c r="H720">
        <v>3</v>
      </c>
      <c r="I720">
        <v>0.22</v>
      </c>
      <c r="J720">
        <v>0.21210000000000001</v>
      </c>
      <c r="K720">
        <v>0.93</v>
      </c>
      <c r="L720">
        <v>0.22389999999999999</v>
      </c>
      <c r="M720">
        <v>1</v>
      </c>
      <c r="N720">
        <v>48</v>
      </c>
      <c r="O720">
        <v>49</v>
      </c>
    </row>
    <row r="721" spans="1:15" x14ac:dyDescent="0.25">
      <c r="A721">
        <v>720</v>
      </c>
      <c r="B721" s="2">
        <v>40576</v>
      </c>
      <c r="C721">
        <v>1</v>
      </c>
      <c r="D721">
        <v>2</v>
      </c>
      <c r="E721">
        <v>8</v>
      </c>
      <c r="F721" t="b">
        <v>0</v>
      </c>
      <c r="G721">
        <v>3</v>
      </c>
      <c r="H721">
        <v>3</v>
      </c>
      <c r="I721">
        <v>0.22</v>
      </c>
      <c r="J721">
        <v>0.21210000000000001</v>
      </c>
      <c r="K721">
        <v>0.93</v>
      </c>
      <c r="L721">
        <v>0.22389999999999999</v>
      </c>
      <c r="M721">
        <v>1</v>
      </c>
      <c r="N721">
        <v>154</v>
      </c>
      <c r="O721">
        <v>155</v>
      </c>
    </row>
    <row r="722" spans="1:15" x14ac:dyDescent="0.25">
      <c r="A722">
        <v>721</v>
      </c>
      <c r="B722" s="2">
        <v>40576</v>
      </c>
      <c r="C722">
        <v>1</v>
      </c>
      <c r="D722">
        <v>2</v>
      </c>
      <c r="E722">
        <v>9</v>
      </c>
      <c r="F722" t="b">
        <v>0</v>
      </c>
      <c r="G722">
        <v>3</v>
      </c>
      <c r="H722">
        <v>2</v>
      </c>
      <c r="I722">
        <v>0.24</v>
      </c>
      <c r="J722">
        <v>0.2576</v>
      </c>
      <c r="K722">
        <v>0.93</v>
      </c>
      <c r="L722">
        <v>8.9599999999999999E-2</v>
      </c>
      <c r="M722">
        <v>4</v>
      </c>
      <c r="N722">
        <v>119</v>
      </c>
      <c r="O722">
        <v>123</v>
      </c>
    </row>
    <row r="723" spans="1:15" x14ac:dyDescent="0.25">
      <c r="A723">
        <v>722</v>
      </c>
      <c r="B723" s="2">
        <v>40576</v>
      </c>
      <c r="C723">
        <v>1</v>
      </c>
      <c r="D723">
        <v>2</v>
      </c>
      <c r="E723">
        <v>10</v>
      </c>
      <c r="F723" t="b">
        <v>0</v>
      </c>
      <c r="G723">
        <v>3</v>
      </c>
      <c r="H723">
        <v>2</v>
      </c>
      <c r="I723">
        <v>0.22</v>
      </c>
      <c r="J723">
        <v>0.2727</v>
      </c>
      <c r="K723">
        <v>1</v>
      </c>
      <c r="L723">
        <f t="shared" ref="L723" si="3">AVERAGE(J723:K723)</f>
        <v>0.63634999999999997</v>
      </c>
      <c r="M723">
        <v>2</v>
      </c>
      <c r="N723">
        <v>59</v>
      </c>
      <c r="O723">
        <v>61</v>
      </c>
    </row>
    <row r="724" spans="1:15" x14ac:dyDescent="0.25">
      <c r="A724">
        <v>723</v>
      </c>
      <c r="B724" s="2">
        <v>40576</v>
      </c>
      <c r="C724">
        <v>1</v>
      </c>
      <c r="D724">
        <v>2</v>
      </c>
      <c r="E724">
        <v>11</v>
      </c>
      <c r="F724" t="b">
        <v>0</v>
      </c>
      <c r="G724">
        <v>3</v>
      </c>
      <c r="H724">
        <v>2</v>
      </c>
      <c r="I724">
        <v>0.24</v>
      </c>
      <c r="J724">
        <v>0.2273</v>
      </c>
      <c r="K724">
        <v>0.93</v>
      </c>
      <c r="L724">
        <v>0.19400000000000001</v>
      </c>
      <c r="M724">
        <v>5</v>
      </c>
      <c r="N724">
        <v>47</v>
      </c>
      <c r="O724">
        <v>52</v>
      </c>
    </row>
    <row r="725" spans="1:15" x14ac:dyDescent="0.25">
      <c r="A725">
        <v>724</v>
      </c>
      <c r="B725" s="2">
        <v>40576</v>
      </c>
      <c r="C725">
        <v>1</v>
      </c>
      <c r="D725">
        <v>2</v>
      </c>
      <c r="E725">
        <v>12</v>
      </c>
      <c r="F725" t="b">
        <v>0</v>
      </c>
      <c r="G725">
        <v>3</v>
      </c>
      <c r="H725">
        <v>2</v>
      </c>
      <c r="I725">
        <v>0.24</v>
      </c>
      <c r="J725">
        <v>0.2273</v>
      </c>
      <c r="K725">
        <v>0.93</v>
      </c>
      <c r="L725">
        <v>0.22389999999999999</v>
      </c>
      <c r="M725">
        <v>3</v>
      </c>
      <c r="N725">
        <v>61</v>
      </c>
      <c r="O725">
        <v>64</v>
      </c>
    </row>
    <row r="726" spans="1:15" x14ac:dyDescent="0.25">
      <c r="A726">
        <v>725</v>
      </c>
      <c r="B726" s="2">
        <v>40576</v>
      </c>
      <c r="C726">
        <v>1</v>
      </c>
      <c r="D726">
        <v>2</v>
      </c>
      <c r="E726">
        <v>13</v>
      </c>
      <c r="F726" t="b">
        <v>0</v>
      </c>
      <c r="G726">
        <v>3</v>
      </c>
      <c r="H726">
        <v>1</v>
      </c>
      <c r="I726">
        <v>0.34</v>
      </c>
      <c r="J726">
        <v>0.33329999999999999</v>
      </c>
      <c r="K726">
        <v>0.93</v>
      </c>
      <c r="L726">
        <v>0.16420000000000001</v>
      </c>
      <c r="M726">
        <v>1</v>
      </c>
      <c r="N726">
        <v>74</v>
      </c>
      <c r="O726">
        <v>75</v>
      </c>
    </row>
    <row r="727" spans="1:15" x14ac:dyDescent="0.25">
      <c r="A727">
        <v>726</v>
      </c>
      <c r="B727" s="2">
        <v>40576</v>
      </c>
      <c r="C727">
        <v>1</v>
      </c>
      <c r="D727">
        <v>2</v>
      </c>
      <c r="E727">
        <v>14</v>
      </c>
      <c r="F727" t="b">
        <v>0</v>
      </c>
      <c r="G727">
        <v>3</v>
      </c>
      <c r="H727">
        <v>1</v>
      </c>
      <c r="I727">
        <v>0.38</v>
      </c>
      <c r="J727">
        <v>0.39389999999999997</v>
      </c>
      <c r="K727">
        <v>0.82</v>
      </c>
      <c r="L727">
        <v>0.3881</v>
      </c>
      <c r="M727">
        <v>2</v>
      </c>
      <c r="N727">
        <v>61</v>
      </c>
      <c r="O727">
        <v>63</v>
      </c>
    </row>
    <row r="728" spans="1:15" x14ac:dyDescent="0.25">
      <c r="A728">
        <v>727</v>
      </c>
      <c r="B728" s="2">
        <v>40576</v>
      </c>
      <c r="C728">
        <v>1</v>
      </c>
      <c r="D728">
        <v>2</v>
      </c>
      <c r="E728">
        <v>15</v>
      </c>
      <c r="F728" t="b">
        <v>0</v>
      </c>
      <c r="G728">
        <v>3</v>
      </c>
      <c r="H728">
        <v>1</v>
      </c>
      <c r="I728">
        <v>0.38</v>
      </c>
      <c r="J728">
        <v>0.39389999999999997</v>
      </c>
      <c r="K728">
        <v>0.76</v>
      </c>
      <c r="L728">
        <v>0.32840000000000003</v>
      </c>
      <c r="M728">
        <v>10</v>
      </c>
      <c r="N728">
        <v>66</v>
      </c>
      <c r="O728">
        <v>76</v>
      </c>
    </row>
    <row r="729" spans="1:15" x14ac:dyDescent="0.25">
      <c r="A729">
        <v>728</v>
      </c>
      <c r="B729" s="2">
        <v>40576</v>
      </c>
      <c r="C729">
        <v>1</v>
      </c>
      <c r="D729">
        <v>2</v>
      </c>
      <c r="E729">
        <v>16</v>
      </c>
      <c r="F729" t="b">
        <v>0</v>
      </c>
      <c r="G729">
        <v>3</v>
      </c>
      <c r="H729">
        <v>1</v>
      </c>
      <c r="I729">
        <v>0.36</v>
      </c>
      <c r="J729">
        <v>0.33329999999999999</v>
      </c>
      <c r="K729">
        <v>0.71</v>
      </c>
      <c r="L729">
        <v>0.29849999999999999</v>
      </c>
      <c r="M729">
        <v>8</v>
      </c>
      <c r="N729">
        <v>95</v>
      </c>
      <c r="O729">
        <v>103</v>
      </c>
    </row>
    <row r="730" spans="1:15" x14ac:dyDescent="0.25">
      <c r="A730">
        <v>729</v>
      </c>
      <c r="B730" s="2">
        <v>40576</v>
      </c>
      <c r="C730">
        <v>1</v>
      </c>
      <c r="D730">
        <v>2</v>
      </c>
      <c r="E730">
        <v>17</v>
      </c>
      <c r="F730" t="b">
        <v>0</v>
      </c>
      <c r="G730">
        <v>3</v>
      </c>
      <c r="H730">
        <v>1</v>
      </c>
      <c r="I730">
        <v>0.36</v>
      </c>
      <c r="J730">
        <v>0.31819999999999998</v>
      </c>
      <c r="K730">
        <v>0.53</v>
      </c>
      <c r="L730">
        <v>0.52239999999999998</v>
      </c>
      <c r="M730">
        <v>7</v>
      </c>
      <c r="N730">
        <v>183</v>
      </c>
      <c r="O730">
        <v>190</v>
      </c>
    </row>
    <row r="731" spans="1:15" x14ac:dyDescent="0.25">
      <c r="A731">
        <v>730</v>
      </c>
      <c r="B731" s="2">
        <v>40576</v>
      </c>
      <c r="C731">
        <v>1</v>
      </c>
      <c r="D731">
        <v>2</v>
      </c>
      <c r="E731">
        <v>18</v>
      </c>
      <c r="F731" t="b">
        <v>0</v>
      </c>
      <c r="G731">
        <v>3</v>
      </c>
      <c r="H731">
        <v>1</v>
      </c>
      <c r="I731">
        <v>0.34</v>
      </c>
      <c r="J731">
        <v>0.28789999999999999</v>
      </c>
      <c r="K731">
        <v>0.42</v>
      </c>
      <c r="L731">
        <v>0.55220000000000002</v>
      </c>
      <c r="M731">
        <v>7</v>
      </c>
      <c r="N731">
        <v>175</v>
      </c>
      <c r="O731">
        <v>182</v>
      </c>
    </row>
    <row r="732" spans="1:15" x14ac:dyDescent="0.25">
      <c r="A732">
        <v>731</v>
      </c>
      <c r="B732" s="2">
        <v>40576</v>
      </c>
      <c r="C732">
        <v>1</v>
      </c>
      <c r="D732">
        <v>2</v>
      </c>
      <c r="E732">
        <v>19</v>
      </c>
      <c r="F732" t="b">
        <v>0</v>
      </c>
      <c r="G732">
        <v>3</v>
      </c>
      <c r="H732">
        <v>1</v>
      </c>
      <c r="I732">
        <v>0.28000000000000003</v>
      </c>
      <c r="J732">
        <v>0.2424</v>
      </c>
      <c r="K732">
        <v>0.45</v>
      </c>
      <c r="L732">
        <v>0.49249999999999999</v>
      </c>
      <c r="M732">
        <v>3</v>
      </c>
      <c r="N732">
        <v>88</v>
      </c>
      <c r="O732">
        <v>91</v>
      </c>
    </row>
    <row r="733" spans="1:15" x14ac:dyDescent="0.25">
      <c r="A733">
        <v>732</v>
      </c>
      <c r="B733" s="2">
        <v>40576</v>
      </c>
      <c r="C733">
        <v>1</v>
      </c>
      <c r="D733">
        <v>2</v>
      </c>
      <c r="E733">
        <v>20</v>
      </c>
      <c r="F733" t="b">
        <v>0</v>
      </c>
      <c r="G733">
        <v>3</v>
      </c>
      <c r="H733">
        <v>1</v>
      </c>
      <c r="I733">
        <v>0.24</v>
      </c>
      <c r="J733">
        <v>0.19700000000000001</v>
      </c>
      <c r="K733">
        <v>0.48</v>
      </c>
      <c r="L733">
        <v>0.55220000000000002</v>
      </c>
      <c r="M733">
        <v>4</v>
      </c>
      <c r="N733">
        <v>71</v>
      </c>
      <c r="O733">
        <v>75</v>
      </c>
    </row>
    <row r="734" spans="1:15" x14ac:dyDescent="0.25">
      <c r="A734">
        <v>733</v>
      </c>
      <c r="B734" s="2">
        <v>40576</v>
      </c>
      <c r="C734">
        <v>1</v>
      </c>
      <c r="D734">
        <v>2</v>
      </c>
      <c r="E734">
        <v>21</v>
      </c>
      <c r="F734" t="b">
        <v>0</v>
      </c>
      <c r="G734">
        <v>3</v>
      </c>
      <c r="H734">
        <v>1</v>
      </c>
      <c r="I734">
        <v>0.22</v>
      </c>
      <c r="J734">
        <v>0.19700000000000001</v>
      </c>
      <c r="K734">
        <v>0.47</v>
      </c>
      <c r="L734">
        <v>0.32840000000000003</v>
      </c>
      <c r="M734">
        <v>1</v>
      </c>
      <c r="N734">
        <v>62</v>
      </c>
      <c r="O734">
        <v>63</v>
      </c>
    </row>
    <row r="735" spans="1:15" x14ac:dyDescent="0.25">
      <c r="A735">
        <v>734</v>
      </c>
      <c r="B735" s="2">
        <v>40576</v>
      </c>
      <c r="C735">
        <v>1</v>
      </c>
      <c r="D735">
        <v>2</v>
      </c>
      <c r="E735">
        <v>22</v>
      </c>
      <c r="F735" t="b">
        <v>0</v>
      </c>
      <c r="G735">
        <v>3</v>
      </c>
      <c r="H735">
        <v>1</v>
      </c>
      <c r="I735">
        <v>0.22</v>
      </c>
      <c r="J735">
        <v>0.21210000000000001</v>
      </c>
      <c r="K735">
        <v>0.44</v>
      </c>
      <c r="L735">
        <v>0.25369999999999998</v>
      </c>
      <c r="M735">
        <v>5</v>
      </c>
      <c r="N735">
        <v>35</v>
      </c>
      <c r="O735">
        <v>40</v>
      </c>
    </row>
    <row r="736" spans="1:15" x14ac:dyDescent="0.25">
      <c r="A736">
        <v>735</v>
      </c>
      <c r="B736" s="2">
        <v>40576</v>
      </c>
      <c r="C736">
        <v>1</v>
      </c>
      <c r="D736">
        <v>2</v>
      </c>
      <c r="E736">
        <v>23</v>
      </c>
      <c r="F736" t="b">
        <v>0</v>
      </c>
      <c r="G736">
        <v>3</v>
      </c>
      <c r="H736">
        <v>1</v>
      </c>
      <c r="I736">
        <v>0.2</v>
      </c>
      <c r="J736">
        <v>0.16669999999999999</v>
      </c>
      <c r="K736">
        <v>0.44</v>
      </c>
      <c r="L736">
        <v>0.44779999999999998</v>
      </c>
      <c r="M736">
        <v>3</v>
      </c>
      <c r="N736">
        <v>29</v>
      </c>
      <c r="O736">
        <v>32</v>
      </c>
    </row>
    <row r="737" spans="1:15" x14ac:dyDescent="0.25">
      <c r="A737">
        <v>736</v>
      </c>
      <c r="B737" s="2">
        <v>40577</v>
      </c>
      <c r="C737">
        <v>1</v>
      </c>
      <c r="D737">
        <v>2</v>
      </c>
      <c r="E737">
        <v>0</v>
      </c>
      <c r="F737" t="b">
        <v>0</v>
      </c>
      <c r="G737">
        <v>4</v>
      </c>
      <c r="H737">
        <v>1</v>
      </c>
      <c r="I737">
        <v>0.2</v>
      </c>
      <c r="J737">
        <v>0.16669999999999999</v>
      </c>
      <c r="K737">
        <v>0.4</v>
      </c>
      <c r="L737">
        <v>0.44779999999999998</v>
      </c>
      <c r="M737">
        <v>1</v>
      </c>
      <c r="N737">
        <v>11</v>
      </c>
      <c r="O737">
        <v>12</v>
      </c>
    </row>
    <row r="738" spans="1:15" x14ac:dyDescent="0.25">
      <c r="A738">
        <v>737</v>
      </c>
      <c r="B738" s="2">
        <v>40577</v>
      </c>
      <c r="C738">
        <v>1</v>
      </c>
      <c r="D738">
        <v>2</v>
      </c>
      <c r="E738">
        <v>1</v>
      </c>
      <c r="F738" t="b">
        <v>0</v>
      </c>
      <c r="G738">
        <v>4</v>
      </c>
      <c r="H738">
        <v>1</v>
      </c>
      <c r="I738">
        <v>0.2</v>
      </c>
      <c r="J738">
        <v>0.1515</v>
      </c>
      <c r="K738">
        <v>0.44</v>
      </c>
      <c r="L738">
        <v>0.52239999999999998</v>
      </c>
      <c r="M738">
        <v>0</v>
      </c>
      <c r="N738">
        <v>5</v>
      </c>
      <c r="O738">
        <v>5</v>
      </c>
    </row>
    <row r="739" spans="1:15" x14ac:dyDescent="0.25">
      <c r="A739">
        <v>738</v>
      </c>
      <c r="B739" s="2">
        <v>40577</v>
      </c>
      <c r="C739">
        <v>1</v>
      </c>
      <c r="D739">
        <v>2</v>
      </c>
      <c r="E739">
        <v>2</v>
      </c>
      <c r="F739" t="b">
        <v>0</v>
      </c>
      <c r="G739">
        <v>4</v>
      </c>
      <c r="H739">
        <v>1</v>
      </c>
      <c r="I739">
        <v>0.18</v>
      </c>
      <c r="J739">
        <v>0.16669999999999999</v>
      </c>
      <c r="K739">
        <v>0.43</v>
      </c>
      <c r="L739">
        <v>0.25369999999999998</v>
      </c>
      <c r="M739">
        <v>0</v>
      </c>
      <c r="N739">
        <v>2</v>
      </c>
      <c r="O739">
        <v>2</v>
      </c>
    </row>
    <row r="740" spans="1:15" x14ac:dyDescent="0.25">
      <c r="A740">
        <v>739</v>
      </c>
      <c r="B740" s="2">
        <v>40577</v>
      </c>
      <c r="C740">
        <v>1</v>
      </c>
      <c r="D740">
        <v>2</v>
      </c>
      <c r="E740">
        <v>3</v>
      </c>
      <c r="F740" t="b">
        <v>0</v>
      </c>
      <c r="G740">
        <v>4</v>
      </c>
      <c r="H740">
        <v>1</v>
      </c>
      <c r="I740">
        <v>0.18</v>
      </c>
      <c r="J740">
        <v>0.16669999999999999</v>
      </c>
      <c r="K740">
        <v>0.43</v>
      </c>
      <c r="L740">
        <v>0.25369999999999998</v>
      </c>
      <c r="M740">
        <v>0</v>
      </c>
      <c r="N740">
        <v>1</v>
      </c>
      <c r="O740">
        <v>1</v>
      </c>
    </row>
    <row r="741" spans="1:15" x14ac:dyDescent="0.25">
      <c r="A741">
        <v>740</v>
      </c>
      <c r="B741" s="2">
        <v>40577</v>
      </c>
      <c r="C741">
        <v>1</v>
      </c>
      <c r="D741">
        <v>2</v>
      </c>
      <c r="E741">
        <v>5</v>
      </c>
      <c r="F741" t="b">
        <v>0</v>
      </c>
      <c r="G741">
        <v>4</v>
      </c>
      <c r="H741">
        <v>1</v>
      </c>
      <c r="I741">
        <v>0.16</v>
      </c>
      <c r="J741">
        <v>0.13639999999999999</v>
      </c>
      <c r="K741">
        <v>0.5</v>
      </c>
      <c r="L741">
        <v>0.29849999999999999</v>
      </c>
      <c r="M741">
        <v>0</v>
      </c>
      <c r="N741">
        <v>2</v>
      </c>
      <c r="O741">
        <v>2</v>
      </c>
    </row>
    <row r="742" spans="1:15" x14ac:dyDescent="0.25">
      <c r="A742">
        <v>741</v>
      </c>
      <c r="B742" s="2">
        <v>40577</v>
      </c>
      <c r="C742">
        <v>1</v>
      </c>
      <c r="D742">
        <v>2</v>
      </c>
      <c r="E742">
        <v>6</v>
      </c>
      <c r="F742" t="b">
        <v>0</v>
      </c>
      <c r="G742">
        <v>4</v>
      </c>
      <c r="H742">
        <v>1</v>
      </c>
      <c r="I742">
        <v>0.16</v>
      </c>
      <c r="J742">
        <v>0.13639999999999999</v>
      </c>
      <c r="K742">
        <v>0.43</v>
      </c>
      <c r="L742">
        <v>0.35820000000000002</v>
      </c>
      <c r="M742">
        <v>0</v>
      </c>
      <c r="N742">
        <v>39</v>
      </c>
      <c r="O742">
        <v>39</v>
      </c>
    </row>
    <row r="743" spans="1:15" x14ac:dyDescent="0.25">
      <c r="A743">
        <v>742</v>
      </c>
      <c r="B743" s="2">
        <v>40577</v>
      </c>
      <c r="C743">
        <v>1</v>
      </c>
      <c r="D743">
        <v>2</v>
      </c>
      <c r="E743">
        <v>7</v>
      </c>
      <c r="F743" t="b">
        <v>0</v>
      </c>
      <c r="G743">
        <v>4</v>
      </c>
      <c r="H743">
        <v>1</v>
      </c>
      <c r="I743">
        <v>0.14000000000000001</v>
      </c>
      <c r="J743">
        <v>0.1212</v>
      </c>
      <c r="K743">
        <v>0.5</v>
      </c>
      <c r="L743">
        <v>0.32840000000000003</v>
      </c>
      <c r="M743">
        <v>1</v>
      </c>
      <c r="N743">
        <v>86</v>
      </c>
      <c r="O743">
        <v>87</v>
      </c>
    </row>
    <row r="744" spans="1:15" x14ac:dyDescent="0.25">
      <c r="A744">
        <v>743</v>
      </c>
      <c r="B744" s="2">
        <v>40577</v>
      </c>
      <c r="C744">
        <v>1</v>
      </c>
      <c r="D744">
        <v>2</v>
      </c>
      <c r="E744">
        <v>8</v>
      </c>
      <c r="F744" t="b">
        <v>0</v>
      </c>
      <c r="G744">
        <v>4</v>
      </c>
      <c r="H744">
        <v>1</v>
      </c>
      <c r="I744">
        <v>0.14000000000000001</v>
      </c>
      <c r="J744">
        <v>0.1212</v>
      </c>
      <c r="K744">
        <v>0.5</v>
      </c>
      <c r="L744">
        <v>0.35820000000000002</v>
      </c>
      <c r="M744">
        <v>4</v>
      </c>
      <c r="N744">
        <v>184</v>
      </c>
      <c r="O744">
        <v>188</v>
      </c>
    </row>
    <row r="745" spans="1:15" x14ac:dyDescent="0.25">
      <c r="A745">
        <v>744</v>
      </c>
      <c r="B745" s="2">
        <v>40577</v>
      </c>
      <c r="C745">
        <v>1</v>
      </c>
      <c r="D745">
        <v>2</v>
      </c>
      <c r="E745">
        <v>9</v>
      </c>
      <c r="F745" t="b">
        <v>0</v>
      </c>
      <c r="G745">
        <v>4</v>
      </c>
      <c r="H745">
        <v>1</v>
      </c>
      <c r="I745">
        <v>0.16</v>
      </c>
      <c r="J745">
        <v>0.13639999999999999</v>
      </c>
      <c r="K745">
        <v>0.47</v>
      </c>
      <c r="L745">
        <v>0.29849999999999999</v>
      </c>
      <c r="M745">
        <v>6</v>
      </c>
      <c r="N745">
        <v>127</v>
      </c>
      <c r="O745">
        <v>133</v>
      </c>
    </row>
    <row r="746" spans="1:15" x14ac:dyDescent="0.25">
      <c r="A746">
        <v>745</v>
      </c>
      <c r="B746" s="2">
        <v>40577</v>
      </c>
      <c r="C746">
        <v>1</v>
      </c>
      <c r="D746">
        <v>2</v>
      </c>
      <c r="E746">
        <v>10</v>
      </c>
      <c r="F746" t="b">
        <v>0</v>
      </c>
      <c r="G746">
        <v>4</v>
      </c>
      <c r="H746">
        <v>1</v>
      </c>
      <c r="I746">
        <v>0.18</v>
      </c>
      <c r="J746">
        <v>0.1515</v>
      </c>
      <c r="K746">
        <v>0.43</v>
      </c>
      <c r="L746">
        <v>0.32840000000000003</v>
      </c>
      <c r="M746">
        <v>2</v>
      </c>
      <c r="N746">
        <v>50</v>
      </c>
      <c r="O746">
        <v>52</v>
      </c>
    </row>
    <row r="747" spans="1:15" x14ac:dyDescent="0.25">
      <c r="A747">
        <v>746</v>
      </c>
      <c r="B747" s="2">
        <v>40577</v>
      </c>
      <c r="C747">
        <v>1</v>
      </c>
      <c r="D747">
        <v>2</v>
      </c>
      <c r="E747">
        <v>11</v>
      </c>
      <c r="F747" t="b">
        <v>0</v>
      </c>
      <c r="G747">
        <v>4</v>
      </c>
      <c r="H747">
        <v>1</v>
      </c>
      <c r="I747">
        <v>0.18</v>
      </c>
      <c r="J747">
        <v>0.13639999999999999</v>
      </c>
      <c r="K747">
        <v>0.43</v>
      </c>
      <c r="L747">
        <v>0.44779999999999998</v>
      </c>
      <c r="M747">
        <v>9</v>
      </c>
      <c r="N747">
        <v>55</v>
      </c>
      <c r="O747">
        <v>64</v>
      </c>
    </row>
    <row r="748" spans="1:15" x14ac:dyDescent="0.25">
      <c r="A748">
        <v>747</v>
      </c>
      <c r="B748" s="2">
        <v>40577</v>
      </c>
      <c r="C748">
        <v>1</v>
      </c>
      <c r="D748">
        <v>2</v>
      </c>
      <c r="E748">
        <v>12</v>
      </c>
      <c r="F748" t="b">
        <v>0</v>
      </c>
      <c r="G748">
        <v>4</v>
      </c>
      <c r="H748">
        <v>1</v>
      </c>
      <c r="I748">
        <v>0.2</v>
      </c>
      <c r="J748">
        <v>0.18179999999999999</v>
      </c>
      <c r="K748">
        <v>0.4</v>
      </c>
      <c r="L748">
        <v>0.35820000000000002</v>
      </c>
      <c r="M748">
        <v>2</v>
      </c>
      <c r="N748">
        <v>67</v>
      </c>
      <c r="O748">
        <v>69</v>
      </c>
    </row>
    <row r="749" spans="1:15" x14ac:dyDescent="0.25">
      <c r="A749">
        <v>748</v>
      </c>
      <c r="B749" s="2">
        <v>40577</v>
      </c>
      <c r="C749">
        <v>1</v>
      </c>
      <c r="D749">
        <v>2</v>
      </c>
      <c r="E749">
        <v>13</v>
      </c>
      <c r="F749" t="b">
        <v>0</v>
      </c>
      <c r="G749">
        <v>4</v>
      </c>
      <c r="H749">
        <v>1</v>
      </c>
      <c r="I749">
        <v>0.2</v>
      </c>
      <c r="J749">
        <v>0.16669999999999999</v>
      </c>
      <c r="K749">
        <v>0.4</v>
      </c>
      <c r="L749">
        <v>0.41789999999999999</v>
      </c>
      <c r="M749">
        <v>4</v>
      </c>
      <c r="N749">
        <v>47</v>
      </c>
      <c r="O749">
        <v>51</v>
      </c>
    </row>
    <row r="750" spans="1:15" x14ac:dyDescent="0.25">
      <c r="A750">
        <v>749</v>
      </c>
      <c r="B750" s="2">
        <v>40577</v>
      </c>
      <c r="C750">
        <v>1</v>
      </c>
      <c r="D750">
        <v>2</v>
      </c>
      <c r="E750">
        <v>14</v>
      </c>
      <c r="F750" t="b">
        <v>0</v>
      </c>
      <c r="G750">
        <v>4</v>
      </c>
      <c r="H750">
        <v>1</v>
      </c>
      <c r="I750">
        <v>0.22</v>
      </c>
      <c r="J750">
        <v>0.19700000000000001</v>
      </c>
      <c r="K750">
        <v>0.37</v>
      </c>
      <c r="L750">
        <v>0.3881</v>
      </c>
      <c r="M750">
        <v>4</v>
      </c>
      <c r="N750">
        <v>43</v>
      </c>
      <c r="O750">
        <v>47</v>
      </c>
    </row>
    <row r="751" spans="1:15" x14ac:dyDescent="0.25">
      <c r="A751">
        <v>750</v>
      </c>
      <c r="B751" s="2">
        <v>40577</v>
      </c>
      <c r="C751">
        <v>1</v>
      </c>
      <c r="D751">
        <v>2</v>
      </c>
      <c r="E751">
        <v>15</v>
      </c>
      <c r="F751" t="b">
        <v>0</v>
      </c>
      <c r="G751">
        <v>4</v>
      </c>
      <c r="H751">
        <v>1</v>
      </c>
      <c r="I751">
        <v>0.22</v>
      </c>
      <c r="J751">
        <v>0.19700000000000001</v>
      </c>
      <c r="K751">
        <v>0.37</v>
      </c>
      <c r="L751">
        <v>0.32840000000000003</v>
      </c>
      <c r="M751">
        <v>4</v>
      </c>
      <c r="N751">
        <v>56</v>
      </c>
      <c r="O751">
        <v>60</v>
      </c>
    </row>
    <row r="752" spans="1:15" x14ac:dyDescent="0.25">
      <c r="A752">
        <v>751</v>
      </c>
      <c r="B752" s="2">
        <v>40577</v>
      </c>
      <c r="C752">
        <v>1</v>
      </c>
      <c r="D752">
        <v>2</v>
      </c>
      <c r="E752">
        <v>16</v>
      </c>
      <c r="F752" t="b">
        <v>0</v>
      </c>
      <c r="G752">
        <v>4</v>
      </c>
      <c r="H752">
        <v>1</v>
      </c>
      <c r="I752">
        <v>0.22</v>
      </c>
      <c r="J752">
        <v>0.21210000000000001</v>
      </c>
      <c r="K752">
        <v>0.37</v>
      </c>
      <c r="L752">
        <v>0.25369999999999998</v>
      </c>
      <c r="M752">
        <v>5</v>
      </c>
      <c r="N752">
        <v>73</v>
      </c>
      <c r="O752">
        <v>78</v>
      </c>
    </row>
    <row r="753" spans="1:15" x14ac:dyDescent="0.25">
      <c r="A753">
        <v>752</v>
      </c>
      <c r="B753" s="2">
        <v>40577</v>
      </c>
      <c r="C753">
        <v>1</v>
      </c>
      <c r="D753">
        <v>2</v>
      </c>
      <c r="E753">
        <v>17</v>
      </c>
      <c r="F753" t="b">
        <v>0</v>
      </c>
      <c r="G753">
        <v>4</v>
      </c>
      <c r="H753">
        <v>1</v>
      </c>
      <c r="I753">
        <v>0.2</v>
      </c>
      <c r="J753">
        <v>0.19700000000000001</v>
      </c>
      <c r="K753">
        <v>0.4</v>
      </c>
      <c r="L753">
        <v>0.19400000000000001</v>
      </c>
      <c r="M753">
        <v>5</v>
      </c>
      <c r="N753">
        <v>170</v>
      </c>
      <c r="O753">
        <v>175</v>
      </c>
    </row>
    <row r="754" spans="1:15" x14ac:dyDescent="0.25">
      <c r="A754">
        <v>753</v>
      </c>
      <c r="B754" s="2">
        <v>40577</v>
      </c>
      <c r="C754">
        <v>1</v>
      </c>
      <c r="D754">
        <v>2</v>
      </c>
      <c r="E754">
        <v>18</v>
      </c>
      <c r="F754" t="b">
        <v>0</v>
      </c>
      <c r="G754">
        <v>4</v>
      </c>
      <c r="H754">
        <v>1</v>
      </c>
      <c r="I754">
        <v>0.2</v>
      </c>
      <c r="J754">
        <v>0.21210000000000001</v>
      </c>
      <c r="K754">
        <v>0.4</v>
      </c>
      <c r="L754">
        <v>0.16420000000000001</v>
      </c>
      <c r="M754">
        <v>2</v>
      </c>
      <c r="N754">
        <v>145</v>
      </c>
      <c r="O754">
        <v>147</v>
      </c>
    </row>
    <row r="755" spans="1:15" x14ac:dyDescent="0.25">
      <c r="A755">
        <v>754</v>
      </c>
      <c r="B755" s="2">
        <v>40577</v>
      </c>
      <c r="C755">
        <v>1</v>
      </c>
      <c r="D755">
        <v>2</v>
      </c>
      <c r="E755">
        <v>19</v>
      </c>
      <c r="F755" t="b">
        <v>0</v>
      </c>
      <c r="G755">
        <v>4</v>
      </c>
      <c r="H755">
        <v>1</v>
      </c>
      <c r="I755">
        <v>0.2</v>
      </c>
      <c r="J755">
        <v>0.2576</v>
      </c>
      <c r="K755">
        <v>0.4</v>
      </c>
      <c r="L755">
        <f t="shared" ref="L755" si="4">AVERAGE(J755:K755)</f>
        <v>0.32879999999999998</v>
      </c>
      <c r="M755">
        <v>4</v>
      </c>
      <c r="N755">
        <v>92</v>
      </c>
      <c r="O755">
        <v>96</v>
      </c>
    </row>
    <row r="756" spans="1:15" x14ac:dyDescent="0.25">
      <c r="A756">
        <v>755</v>
      </c>
      <c r="B756" s="2">
        <v>40577</v>
      </c>
      <c r="C756">
        <v>1</v>
      </c>
      <c r="D756">
        <v>2</v>
      </c>
      <c r="E756">
        <v>20</v>
      </c>
      <c r="F756" t="b">
        <v>0</v>
      </c>
      <c r="G756">
        <v>4</v>
      </c>
      <c r="H756">
        <v>1</v>
      </c>
      <c r="I756">
        <v>0.2</v>
      </c>
      <c r="J756">
        <v>0.2273</v>
      </c>
      <c r="K756">
        <v>0.47</v>
      </c>
      <c r="L756">
        <v>8.9599999999999999E-2</v>
      </c>
      <c r="M756">
        <v>1</v>
      </c>
      <c r="N756">
        <v>108</v>
      </c>
      <c r="O756">
        <v>109</v>
      </c>
    </row>
    <row r="757" spans="1:15" x14ac:dyDescent="0.25">
      <c r="A757">
        <v>756</v>
      </c>
      <c r="B757" s="2">
        <v>40577</v>
      </c>
      <c r="C757">
        <v>1</v>
      </c>
      <c r="D757">
        <v>2</v>
      </c>
      <c r="E757">
        <v>21</v>
      </c>
      <c r="F757" t="b">
        <v>0</v>
      </c>
      <c r="G757">
        <v>4</v>
      </c>
      <c r="H757">
        <v>1</v>
      </c>
      <c r="I757">
        <v>0.18</v>
      </c>
      <c r="J757">
        <v>0.21210000000000001</v>
      </c>
      <c r="K757">
        <v>0.55000000000000004</v>
      </c>
      <c r="L757">
        <v>0.1045</v>
      </c>
      <c r="M757">
        <v>1</v>
      </c>
      <c r="N757">
        <v>53</v>
      </c>
      <c r="O757">
        <v>54</v>
      </c>
    </row>
    <row r="758" spans="1:15" x14ac:dyDescent="0.25">
      <c r="A758">
        <v>757</v>
      </c>
      <c r="B758" s="2">
        <v>40577</v>
      </c>
      <c r="C758">
        <v>1</v>
      </c>
      <c r="D758">
        <v>2</v>
      </c>
      <c r="E758">
        <v>22</v>
      </c>
      <c r="F758" t="b">
        <v>0</v>
      </c>
      <c r="G758">
        <v>4</v>
      </c>
      <c r="H758">
        <v>1</v>
      </c>
      <c r="I758">
        <v>0.18</v>
      </c>
      <c r="J758">
        <v>0.21210000000000001</v>
      </c>
      <c r="K758">
        <v>0.51</v>
      </c>
      <c r="L758">
        <v>8.9599999999999999E-2</v>
      </c>
      <c r="M758">
        <v>2</v>
      </c>
      <c r="N758">
        <v>39</v>
      </c>
      <c r="O758">
        <v>41</v>
      </c>
    </row>
    <row r="759" spans="1:15" x14ac:dyDescent="0.25">
      <c r="A759">
        <v>758</v>
      </c>
      <c r="B759" s="2">
        <v>40577</v>
      </c>
      <c r="C759">
        <v>1</v>
      </c>
      <c r="D759">
        <v>2</v>
      </c>
      <c r="E759">
        <v>23</v>
      </c>
      <c r="F759" t="b">
        <v>0</v>
      </c>
      <c r="G759">
        <v>4</v>
      </c>
      <c r="H759">
        <v>1</v>
      </c>
      <c r="I759">
        <v>0.2</v>
      </c>
      <c r="J759">
        <v>0.2273</v>
      </c>
      <c r="K759">
        <v>0.47</v>
      </c>
      <c r="L759">
        <v>0.1045</v>
      </c>
      <c r="M759">
        <v>4</v>
      </c>
      <c r="N759">
        <v>34</v>
      </c>
      <c r="O759">
        <v>38</v>
      </c>
    </row>
    <row r="760" spans="1:15" x14ac:dyDescent="0.25">
      <c r="A760">
        <v>759</v>
      </c>
      <c r="B760" s="2">
        <v>40578</v>
      </c>
      <c r="C760">
        <v>1</v>
      </c>
      <c r="D760">
        <v>2</v>
      </c>
      <c r="E760">
        <v>0</v>
      </c>
      <c r="F760" t="b">
        <v>0</v>
      </c>
      <c r="G760">
        <v>5</v>
      </c>
      <c r="H760">
        <v>2</v>
      </c>
      <c r="I760">
        <v>0.2</v>
      </c>
      <c r="J760">
        <v>0.2576</v>
      </c>
      <c r="K760">
        <v>0.44</v>
      </c>
      <c r="L760">
        <f t="shared" ref="L760:L761" si="5">AVERAGE(J760:K760)</f>
        <v>0.3488</v>
      </c>
      <c r="M760">
        <v>3</v>
      </c>
      <c r="N760">
        <v>10</v>
      </c>
      <c r="O760">
        <v>13</v>
      </c>
    </row>
    <row r="761" spans="1:15" x14ac:dyDescent="0.25">
      <c r="A761">
        <v>760</v>
      </c>
      <c r="B761" s="2">
        <v>40578</v>
      </c>
      <c r="C761">
        <v>1</v>
      </c>
      <c r="D761">
        <v>2</v>
      </c>
      <c r="E761">
        <v>1</v>
      </c>
      <c r="F761" t="b">
        <v>0</v>
      </c>
      <c r="G761">
        <v>5</v>
      </c>
      <c r="H761">
        <v>2</v>
      </c>
      <c r="I761">
        <v>0.16</v>
      </c>
      <c r="J761">
        <v>0.2273</v>
      </c>
      <c r="K761">
        <v>0.59</v>
      </c>
      <c r="L761">
        <f t="shared" si="5"/>
        <v>0.40864999999999996</v>
      </c>
      <c r="M761">
        <v>0</v>
      </c>
      <c r="N761">
        <v>7</v>
      </c>
      <c r="O761">
        <v>7</v>
      </c>
    </row>
    <row r="762" spans="1:15" x14ac:dyDescent="0.25">
      <c r="A762">
        <v>761</v>
      </c>
      <c r="B762" s="2">
        <v>40578</v>
      </c>
      <c r="C762">
        <v>1</v>
      </c>
      <c r="D762">
        <v>2</v>
      </c>
      <c r="E762">
        <v>2</v>
      </c>
      <c r="F762" t="b">
        <v>0</v>
      </c>
      <c r="G762">
        <v>5</v>
      </c>
      <c r="H762">
        <v>2</v>
      </c>
      <c r="I762">
        <v>0.14000000000000001</v>
      </c>
      <c r="J762">
        <v>0.16669999999999999</v>
      </c>
      <c r="K762">
        <v>0.63</v>
      </c>
      <c r="L762">
        <v>0.1045</v>
      </c>
      <c r="M762">
        <v>0</v>
      </c>
      <c r="N762">
        <v>1</v>
      </c>
      <c r="O762">
        <v>1</v>
      </c>
    </row>
    <row r="763" spans="1:15" x14ac:dyDescent="0.25">
      <c r="A763">
        <v>762</v>
      </c>
      <c r="B763" s="2">
        <v>40578</v>
      </c>
      <c r="C763">
        <v>1</v>
      </c>
      <c r="D763">
        <v>2</v>
      </c>
      <c r="E763">
        <v>3</v>
      </c>
      <c r="F763" t="b">
        <v>0</v>
      </c>
      <c r="G763">
        <v>5</v>
      </c>
      <c r="H763">
        <v>2</v>
      </c>
      <c r="I763">
        <v>0.14000000000000001</v>
      </c>
      <c r="J763">
        <v>0.16669999999999999</v>
      </c>
      <c r="K763">
        <v>0.63</v>
      </c>
      <c r="L763">
        <v>0.1045</v>
      </c>
      <c r="M763">
        <v>0</v>
      </c>
      <c r="N763">
        <v>1</v>
      </c>
      <c r="O763">
        <v>1</v>
      </c>
    </row>
    <row r="764" spans="1:15" x14ac:dyDescent="0.25">
      <c r="A764">
        <v>763</v>
      </c>
      <c r="B764" s="2">
        <v>40578</v>
      </c>
      <c r="C764">
        <v>1</v>
      </c>
      <c r="D764">
        <v>2</v>
      </c>
      <c r="E764">
        <v>5</v>
      </c>
      <c r="F764" t="b">
        <v>0</v>
      </c>
      <c r="G764">
        <v>5</v>
      </c>
      <c r="H764">
        <v>2</v>
      </c>
      <c r="I764">
        <v>0.14000000000000001</v>
      </c>
      <c r="J764">
        <v>0.1515</v>
      </c>
      <c r="K764">
        <v>0.63</v>
      </c>
      <c r="L764">
        <v>0.1343</v>
      </c>
      <c r="M764">
        <v>0</v>
      </c>
      <c r="N764">
        <v>7</v>
      </c>
      <c r="O764">
        <v>7</v>
      </c>
    </row>
    <row r="765" spans="1:15" x14ac:dyDescent="0.25">
      <c r="A765">
        <v>764</v>
      </c>
      <c r="B765" s="2">
        <v>40578</v>
      </c>
      <c r="C765">
        <v>1</v>
      </c>
      <c r="D765">
        <v>2</v>
      </c>
      <c r="E765">
        <v>6</v>
      </c>
      <c r="F765" t="b">
        <v>0</v>
      </c>
      <c r="G765">
        <v>5</v>
      </c>
      <c r="H765">
        <v>2</v>
      </c>
      <c r="I765">
        <v>0.16</v>
      </c>
      <c r="J765">
        <v>0.2273</v>
      </c>
      <c r="K765">
        <v>0.55000000000000004</v>
      </c>
      <c r="L765">
        <f t="shared" ref="L765:L766" si="6">AVERAGE(J765:K765)</f>
        <v>0.38865000000000005</v>
      </c>
      <c r="M765">
        <v>2</v>
      </c>
      <c r="N765">
        <v>26</v>
      </c>
      <c r="O765">
        <v>28</v>
      </c>
    </row>
    <row r="766" spans="1:15" x14ac:dyDescent="0.25">
      <c r="A766">
        <v>765</v>
      </c>
      <c r="B766" s="2">
        <v>40578</v>
      </c>
      <c r="C766">
        <v>1</v>
      </c>
      <c r="D766">
        <v>2</v>
      </c>
      <c r="E766">
        <v>7</v>
      </c>
      <c r="F766" t="b">
        <v>0</v>
      </c>
      <c r="G766">
        <v>5</v>
      </c>
      <c r="H766">
        <v>1</v>
      </c>
      <c r="I766">
        <v>0.14000000000000001</v>
      </c>
      <c r="J766">
        <v>0.21210000000000001</v>
      </c>
      <c r="K766">
        <v>0.59</v>
      </c>
      <c r="L766">
        <f t="shared" si="6"/>
        <v>0.40105000000000002</v>
      </c>
      <c r="M766">
        <v>0</v>
      </c>
      <c r="N766">
        <v>87</v>
      </c>
      <c r="O766">
        <v>87</v>
      </c>
    </row>
    <row r="767" spans="1:15" x14ac:dyDescent="0.25">
      <c r="A767">
        <v>766</v>
      </c>
      <c r="B767" s="2">
        <v>40578</v>
      </c>
      <c r="C767">
        <v>1</v>
      </c>
      <c r="D767">
        <v>2</v>
      </c>
      <c r="E767">
        <v>8</v>
      </c>
      <c r="F767" t="b">
        <v>0</v>
      </c>
      <c r="G767">
        <v>5</v>
      </c>
      <c r="H767">
        <v>1</v>
      </c>
      <c r="I767">
        <v>0.14000000000000001</v>
      </c>
      <c r="J767">
        <v>0.1515</v>
      </c>
      <c r="K767">
        <v>0.74</v>
      </c>
      <c r="L767">
        <v>0.1343</v>
      </c>
      <c r="M767">
        <v>3</v>
      </c>
      <c r="N767">
        <v>217</v>
      </c>
      <c r="O767">
        <v>220</v>
      </c>
    </row>
    <row r="768" spans="1:15" x14ac:dyDescent="0.25">
      <c r="A768">
        <v>767</v>
      </c>
      <c r="B768" s="2">
        <v>40578</v>
      </c>
      <c r="C768">
        <v>1</v>
      </c>
      <c r="D768">
        <v>2</v>
      </c>
      <c r="E768">
        <v>9</v>
      </c>
      <c r="F768" t="b">
        <v>0</v>
      </c>
      <c r="G768">
        <v>5</v>
      </c>
      <c r="H768">
        <v>2</v>
      </c>
      <c r="I768">
        <v>0.16</v>
      </c>
      <c r="J768">
        <v>0.18179999999999999</v>
      </c>
      <c r="K768">
        <v>0.8</v>
      </c>
      <c r="L768">
        <v>0.1343</v>
      </c>
      <c r="M768">
        <v>3</v>
      </c>
      <c r="N768">
        <v>124</v>
      </c>
      <c r="O768">
        <v>127</v>
      </c>
    </row>
    <row r="769" spans="1:15" x14ac:dyDescent="0.25">
      <c r="A769">
        <v>768</v>
      </c>
      <c r="B769" s="2">
        <v>40578</v>
      </c>
      <c r="C769">
        <v>1</v>
      </c>
      <c r="D769">
        <v>2</v>
      </c>
      <c r="E769">
        <v>10</v>
      </c>
      <c r="F769" t="b">
        <v>0</v>
      </c>
      <c r="G769">
        <v>5</v>
      </c>
      <c r="H769">
        <v>2</v>
      </c>
      <c r="I769">
        <v>0.2</v>
      </c>
      <c r="J769">
        <v>0.21210000000000001</v>
      </c>
      <c r="K769">
        <v>0.51</v>
      </c>
      <c r="L769">
        <v>0.1343</v>
      </c>
      <c r="M769">
        <v>5</v>
      </c>
      <c r="N769">
        <v>46</v>
      </c>
      <c r="O769">
        <v>51</v>
      </c>
    </row>
    <row r="770" spans="1:15" x14ac:dyDescent="0.25">
      <c r="A770">
        <v>769</v>
      </c>
      <c r="B770" s="2">
        <v>40578</v>
      </c>
      <c r="C770">
        <v>1</v>
      </c>
      <c r="D770">
        <v>2</v>
      </c>
      <c r="E770">
        <v>11</v>
      </c>
      <c r="F770" t="b">
        <v>0</v>
      </c>
      <c r="G770">
        <v>5</v>
      </c>
      <c r="H770">
        <v>1</v>
      </c>
      <c r="I770">
        <v>0.22</v>
      </c>
      <c r="J770">
        <v>0.2273</v>
      </c>
      <c r="K770">
        <v>0.51</v>
      </c>
      <c r="L770">
        <v>0.16420000000000001</v>
      </c>
      <c r="M770">
        <v>3</v>
      </c>
      <c r="N770">
        <v>61</v>
      </c>
      <c r="O770">
        <v>64</v>
      </c>
    </row>
    <row r="771" spans="1:15" x14ac:dyDescent="0.25">
      <c r="A771">
        <v>770</v>
      </c>
      <c r="B771" s="2">
        <v>40578</v>
      </c>
      <c r="C771">
        <v>1</v>
      </c>
      <c r="D771">
        <v>2</v>
      </c>
      <c r="E771">
        <v>12</v>
      </c>
      <c r="F771" t="b">
        <v>0</v>
      </c>
      <c r="G771">
        <v>5</v>
      </c>
      <c r="H771">
        <v>2</v>
      </c>
      <c r="I771">
        <v>0.24</v>
      </c>
      <c r="J771">
        <v>0.2424</v>
      </c>
      <c r="K771">
        <v>0.48</v>
      </c>
      <c r="L771">
        <v>0.16420000000000001</v>
      </c>
      <c r="M771">
        <v>8</v>
      </c>
      <c r="N771">
        <v>78</v>
      </c>
      <c r="O771">
        <v>86</v>
      </c>
    </row>
    <row r="772" spans="1:15" x14ac:dyDescent="0.25">
      <c r="A772">
        <v>771</v>
      </c>
      <c r="B772" s="2">
        <v>40578</v>
      </c>
      <c r="C772">
        <v>1</v>
      </c>
      <c r="D772">
        <v>2</v>
      </c>
      <c r="E772">
        <v>13</v>
      </c>
      <c r="F772" t="b">
        <v>0</v>
      </c>
      <c r="G772">
        <v>5</v>
      </c>
      <c r="H772">
        <v>2</v>
      </c>
      <c r="I772">
        <v>0.26</v>
      </c>
      <c r="J772">
        <v>0.2576</v>
      </c>
      <c r="K772">
        <v>0.5</v>
      </c>
      <c r="L772">
        <v>0.22389999999999999</v>
      </c>
      <c r="M772">
        <v>9</v>
      </c>
      <c r="N772">
        <v>73</v>
      </c>
      <c r="O772">
        <v>82</v>
      </c>
    </row>
    <row r="773" spans="1:15" x14ac:dyDescent="0.25">
      <c r="A773">
        <v>772</v>
      </c>
      <c r="B773" s="2">
        <v>40578</v>
      </c>
      <c r="C773">
        <v>1</v>
      </c>
      <c r="D773">
        <v>2</v>
      </c>
      <c r="E773">
        <v>14</v>
      </c>
      <c r="F773" t="b">
        <v>0</v>
      </c>
      <c r="G773">
        <v>5</v>
      </c>
      <c r="H773">
        <v>2</v>
      </c>
      <c r="I773">
        <v>0.28000000000000003</v>
      </c>
      <c r="J773">
        <v>0.2727</v>
      </c>
      <c r="K773">
        <v>0.45</v>
      </c>
      <c r="L773">
        <v>0.16420000000000001</v>
      </c>
      <c r="M773">
        <v>15</v>
      </c>
      <c r="N773">
        <v>76</v>
      </c>
      <c r="O773">
        <v>91</v>
      </c>
    </row>
    <row r="774" spans="1:15" x14ac:dyDescent="0.25">
      <c r="A774">
        <v>773</v>
      </c>
      <c r="B774" s="2">
        <v>40578</v>
      </c>
      <c r="C774">
        <v>1</v>
      </c>
      <c r="D774">
        <v>2</v>
      </c>
      <c r="E774">
        <v>15</v>
      </c>
      <c r="F774" t="b">
        <v>0</v>
      </c>
      <c r="G774">
        <v>5</v>
      </c>
      <c r="H774">
        <v>2</v>
      </c>
      <c r="I774">
        <v>0.28000000000000003</v>
      </c>
      <c r="J774">
        <v>0.2727</v>
      </c>
      <c r="K774">
        <v>0.48</v>
      </c>
      <c r="L774">
        <v>0.25369999999999998</v>
      </c>
      <c r="M774">
        <v>9</v>
      </c>
      <c r="N774">
        <v>81</v>
      </c>
      <c r="O774">
        <v>90</v>
      </c>
    </row>
    <row r="775" spans="1:15" x14ac:dyDescent="0.25">
      <c r="A775">
        <v>774</v>
      </c>
      <c r="B775" s="2">
        <v>40578</v>
      </c>
      <c r="C775">
        <v>1</v>
      </c>
      <c r="D775">
        <v>2</v>
      </c>
      <c r="E775">
        <v>16</v>
      </c>
      <c r="F775" t="b">
        <v>0</v>
      </c>
      <c r="G775">
        <v>5</v>
      </c>
      <c r="H775">
        <v>2</v>
      </c>
      <c r="I775">
        <v>0.3</v>
      </c>
      <c r="J775">
        <v>0.28789999999999999</v>
      </c>
      <c r="K775">
        <v>0.42</v>
      </c>
      <c r="L775">
        <v>0.22389999999999999</v>
      </c>
      <c r="M775">
        <v>8</v>
      </c>
      <c r="N775">
        <v>91</v>
      </c>
      <c r="O775">
        <v>99</v>
      </c>
    </row>
    <row r="776" spans="1:15" x14ac:dyDescent="0.25">
      <c r="A776">
        <v>775</v>
      </c>
      <c r="B776" s="2">
        <v>40578</v>
      </c>
      <c r="C776">
        <v>1</v>
      </c>
      <c r="D776">
        <v>2</v>
      </c>
      <c r="E776">
        <v>17</v>
      </c>
      <c r="F776" t="b">
        <v>0</v>
      </c>
      <c r="G776">
        <v>5</v>
      </c>
      <c r="H776">
        <v>2</v>
      </c>
      <c r="I776">
        <v>0.26</v>
      </c>
      <c r="J776">
        <v>0.2727</v>
      </c>
      <c r="K776">
        <v>0.56000000000000005</v>
      </c>
      <c r="L776">
        <v>0.1343</v>
      </c>
      <c r="M776">
        <v>10</v>
      </c>
      <c r="N776">
        <v>195</v>
      </c>
      <c r="O776">
        <v>205</v>
      </c>
    </row>
    <row r="777" spans="1:15" x14ac:dyDescent="0.25">
      <c r="A777">
        <v>776</v>
      </c>
      <c r="B777" s="2">
        <v>40578</v>
      </c>
      <c r="C777">
        <v>1</v>
      </c>
      <c r="D777">
        <v>2</v>
      </c>
      <c r="E777">
        <v>18</v>
      </c>
      <c r="F777" t="b">
        <v>0</v>
      </c>
      <c r="G777">
        <v>5</v>
      </c>
      <c r="H777">
        <v>2</v>
      </c>
      <c r="I777">
        <v>0.24</v>
      </c>
      <c r="J777">
        <v>0.2576</v>
      </c>
      <c r="K777">
        <v>0.6</v>
      </c>
      <c r="L777">
        <v>0.1045</v>
      </c>
      <c r="M777">
        <v>3</v>
      </c>
      <c r="N777">
        <v>152</v>
      </c>
      <c r="O777">
        <v>155</v>
      </c>
    </row>
    <row r="778" spans="1:15" x14ac:dyDescent="0.25">
      <c r="A778">
        <v>777</v>
      </c>
      <c r="B778" s="2">
        <v>40578</v>
      </c>
      <c r="C778">
        <v>1</v>
      </c>
      <c r="D778">
        <v>2</v>
      </c>
      <c r="E778">
        <v>19</v>
      </c>
      <c r="F778" t="b">
        <v>0</v>
      </c>
      <c r="G778">
        <v>5</v>
      </c>
      <c r="H778">
        <v>2</v>
      </c>
      <c r="I778">
        <v>0.24</v>
      </c>
      <c r="J778">
        <v>0.2424</v>
      </c>
      <c r="K778">
        <v>0.65</v>
      </c>
      <c r="L778">
        <v>0.1343</v>
      </c>
      <c r="M778">
        <v>1</v>
      </c>
      <c r="N778">
        <v>102</v>
      </c>
      <c r="O778">
        <v>103</v>
      </c>
    </row>
    <row r="779" spans="1:15" x14ac:dyDescent="0.25">
      <c r="A779">
        <v>778</v>
      </c>
      <c r="B779" s="2">
        <v>40578</v>
      </c>
      <c r="C779">
        <v>1</v>
      </c>
      <c r="D779">
        <v>2</v>
      </c>
      <c r="E779">
        <v>20</v>
      </c>
      <c r="F779" t="b">
        <v>0</v>
      </c>
      <c r="G779">
        <v>5</v>
      </c>
      <c r="H779">
        <v>2</v>
      </c>
      <c r="I779">
        <v>0.24</v>
      </c>
      <c r="J779">
        <v>0.2424</v>
      </c>
      <c r="K779">
        <v>0.65</v>
      </c>
      <c r="L779">
        <v>0.16420000000000001</v>
      </c>
      <c r="M779">
        <v>2</v>
      </c>
      <c r="N779">
        <v>69</v>
      </c>
      <c r="O779">
        <v>71</v>
      </c>
    </row>
    <row r="780" spans="1:15" x14ac:dyDescent="0.25">
      <c r="A780">
        <v>779</v>
      </c>
      <c r="B780" s="2">
        <v>40578</v>
      </c>
      <c r="C780">
        <v>1</v>
      </c>
      <c r="D780">
        <v>2</v>
      </c>
      <c r="E780">
        <v>21</v>
      </c>
      <c r="F780" t="b">
        <v>0</v>
      </c>
      <c r="G780">
        <v>5</v>
      </c>
      <c r="H780">
        <v>2</v>
      </c>
      <c r="I780">
        <v>0.24</v>
      </c>
      <c r="J780">
        <v>0.2424</v>
      </c>
      <c r="K780">
        <v>0.7</v>
      </c>
      <c r="L780">
        <v>0.16420000000000001</v>
      </c>
      <c r="M780">
        <v>2</v>
      </c>
      <c r="N780">
        <v>41</v>
      </c>
      <c r="O780">
        <v>43</v>
      </c>
    </row>
    <row r="781" spans="1:15" x14ac:dyDescent="0.25">
      <c r="A781">
        <v>780</v>
      </c>
      <c r="B781" s="2">
        <v>40578</v>
      </c>
      <c r="C781">
        <v>1</v>
      </c>
      <c r="D781">
        <v>2</v>
      </c>
      <c r="E781">
        <v>22</v>
      </c>
      <c r="F781" t="b">
        <v>0</v>
      </c>
      <c r="G781">
        <v>5</v>
      </c>
      <c r="H781">
        <v>2</v>
      </c>
      <c r="I781">
        <v>0.24</v>
      </c>
      <c r="J781">
        <v>0.2424</v>
      </c>
      <c r="K781">
        <v>0.65</v>
      </c>
      <c r="L781">
        <v>0.16420000000000001</v>
      </c>
      <c r="M781">
        <v>1</v>
      </c>
      <c r="N781">
        <v>45</v>
      </c>
      <c r="O781">
        <v>46</v>
      </c>
    </row>
    <row r="782" spans="1:15" x14ac:dyDescent="0.25">
      <c r="A782">
        <v>781</v>
      </c>
      <c r="B782" s="2">
        <v>40578</v>
      </c>
      <c r="C782">
        <v>1</v>
      </c>
      <c r="D782">
        <v>2</v>
      </c>
      <c r="E782">
        <v>23</v>
      </c>
      <c r="F782" t="b">
        <v>0</v>
      </c>
      <c r="G782">
        <v>5</v>
      </c>
      <c r="H782">
        <v>2</v>
      </c>
      <c r="I782">
        <v>0.24</v>
      </c>
      <c r="J782">
        <v>0.2424</v>
      </c>
      <c r="K782">
        <v>0.7</v>
      </c>
      <c r="L782">
        <v>0.1343</v>
      </c>
      <c r="M782">
        <v>1</v>
      </c>
      <c r="N782">
        <v>30</v>
      </c>
      <c r="O782">
        <v>31</v>
      </c>
    </row>
    <row r="783" spans="1:15" x14ac:dyDescent="0.25">
      <c r="A783">
        <v>782</v>
      </c>
      <c r="B783" s="2">
        <v>40579</v>
      </c>
      <c r="C783">
        <v>1</v>
      </c>
      <c r="D783">
        <v>2</v>
      </c>
      <c r="E783">
        <v>0</v>
      </c>
      <c r="F783" t="b">
        <v>0</v>
      </c>
      <c r="G783">
        <v>6</v>
      </c>
      <c r="H783">
        <v>2</v>
      </c>
      <c r="I783">
        <v>0.24</v>
      </c>
      <c r="J783">
        <v>0.2424</v>
      </c>
      <c r="K783">
        <v>0.7</v>
      </c>
      <c r="L783">
        <v>0.16420000000000001</v>
      </c>
      <c r="M783">
        <v>3</v>
      </c>
      <c r="N783">
        <v>36</v>
      </c>
      <c r="O783">
        <v>39</v>
      </c>
    </row>
    <row r="784" spans="1:15" x14ac:dyDescent="0.25">
      <c r="A784">
        <v>783</v>
      </c>
      <c r="B784" s="2">
        <v>40579</v>
      </c>
      <c r="C784">
        <v>1</v>
      </c>
      <c r="D784">
        <v>2</v>
      </c>
      <c r="E784">
        <v>1</v>
      </c>
      <c r="F784" t="b">
        <v>0</v>
      </c>
      <c r="G784">
        <v>6</v>
      </c>
      <c r="H784">
        <v>2</v>
      </c>
      <c r="I784">
        <v>0.24</v>
      </c>
      <c r="J784">
        <v>0.2424</v>
      </c>
      <c r="K784">
        <v>0.65</v>
      </c>
      <c r="L784">
        <v>0.16420000000000001</v>
      </c>
      <c r="M784">
        <v>1</v>
      </c>
      <c r="N784">
        <v>17</v>
      </c>
      <c r="O784">
        <v>18</v>
      </c>
    </row>
    <row r="785" spans="1:15" x14ac:dyDescent="0.25">
      <c r="A785">
        <v>784</v>
      </c>
      <c r="B785" s="2">
        <v>40579</v>
      </c>
      <c r="C785">
        <v>1</v>
      </c>
      <c r="D785">
        <v>2</v>
      </c>
      <c r="E785">
        <v>2</v>
      </c>
      <c r="F785" t="b">
        <v>0</v>
      </c>
      <c r="G785">
        <v>6</v>
      </c>
      <c r="H785">
        <v>2</v>
      </c>
      <c r="I785">
        <v>0.24</v>
      </c>
      <c r="J785">
        <v>0.2424</v>
      </c>
      <c r="K785">
        <v>0.75</v>
      </c>
      <c r="L785">
        <v>0.16420000000000001</v>
      </c>
      <c r="M785">
        <v>5</v>
      </c>
      <c r="N785">
        <v>12</v>
      </c>
      <c r="O785">
        <v>17</v>
      </c>
    </row>
    <row r="786" spans="1:15" x14ac:dyDescent="0.25">
      <c r="A786">
        <v>785</v>
      </c>
      <c r="B786" s="2">
        <v>40579</v>
      </c>
      <c r="C786">
        <v>1</v>
      </c>
      <c r="D786">
        <v>2</v>
      </c>
      <c r="E786">
        <v>3</v>
      </c>
      <c r="F786" t="b">
        <v>0</v>
      </c>
      <c r="G786">
        <v>6</v>
      </c>
      <c r="H786">
        <v>2</v>
      </c>
      <c r="I786">
        <v>0.24</v>
      </c>
      <c r="J786">
        <v>0.2424</v>
      </c>
      <c r="K786">
        <v>0.75</v>
      </c>
      <c r="L786">
        <v>0.16420000000000001</v>
      </c>
      <c r="M786">
        <v>1</v>
      </c>
      <c r="N786">
        <v>10</v>
      </c>
      <c r="O786">
        <v>11</v>
      </c>
    </row>
    <row r="787" spans="1:15" x14ac:dyDescent="0.25">
      <c r="A787">
        <v>786</v>
      </c>
      <c r="B787" s="2">
        <v>40579</v>
      </c>
      <c r="C787">
        <v>1</v>
      </c>
      <c r="D787">
        <v>2</v>
      </c>
      <c r="E787">
        <v>4</v>
      </c>
      <c r="F787" t="b">
        <v>0</v>
      </c>
      <c r="G787">
        <v>6</v>
      </c>
      <c r="H787">
        <v>3</v>
      </c>
      <c r="I787">
        <v>0.22</v>
      </c>
      <c r="J787">
        <v>0.2273</v>
      </c>
      <c r="K787">
        <v>0.93</v>
      </c>
      <c r="L787">
        <v>0.1343</v>
      </c>
      <c r="M787">
        <v>0</v>
      </c>
      <c r="N787">
        <v>8</v>
      </c>
      <c r="O787">
        <v>8</v>
      </c>
    </row>
    <row r="788" spans="1:15" x14ac:dyDescent="0.25">
      <c r="A788">
        <v>787</v>
      </c>
      <c r="B788" s="2">
        <v>40579</v>
      </c>
      <c r="C788">
        <v>1</v>
      </c>
      <c r="D788">
        <v>2</v>
      </c>
      <c r="E788">
        <v>5</v>
      </c>
      <c r="F788" t="b">
        <v>0</v>
      </c>
      <c r="G788">
        <v>6</v>
      </c>
      <c r="H788">
        <v>3</v>
      </c>
      <c r="I788">
        <v>0.2</v>
      </c>
      <c r="J788">
        <v>0.2273</v>
      </c>
      <c r="K788">
        <v>1</v>
      </c>
      <c r="L788">
        <v>8.9599999999999999E-2</v>
      </c>
      <c r="M788">
        <v>0</v>
      </c>
      <c r="N788">
        <v>9</v>
      </c>
      <c r="O788">
        <v>9</v>
      </c>
    </row>
    <row r="789" spans="1:15" x14ac:dyDescent="0.25">
      <c r="A789">
        <v>788</v>
      </c>
      <c r="B789" s="2">
        <v>40579</v>
      </c>
      <c r="C789">
        <v>1</v>
      </c>
      <c r="D789">
        <v>2</v>
      </c>
      <c r="E789">
        <v>6</v>
      </c>
      <c r="F789" t="b">
        <v>0</v>
      </c>
      <c r="G789">
        <v>6</v>
      </c>
      <c r="H789">
        <v>3</v>
      </c>
      <c r="I789">
        <v>0.2</v>
      </c>
      <c r="J789">
        <v>0.2576</v>
      </c>
      <c r="K789">
        <v>1</v>
      </c>
      <c r="L789">
        <f t="shared" ref="L789" si="7">AVERAGE(J789:K789)</f>
        <v>0.62880000000000003</v>
      </c>
      <c r="M789">
        <v>0</v>
      </c>
      <c r="N789">
        <v>4</v>
      </c>
      <c r="O789">
        <v>4</v>
      </c>
    </row>
    <row r="790" spans="1:15" x14ac:dyDescent="0.25">
      <c r="A790">
        <v>789</v>
      </c>
      <c r="B790" s="2">
        <v>40579</v>
      </c>
      <c r="C790">
        <v>1</v>
      </c>
      <c r="D790">
        <v>2</v>
      </c>
      <c r="E790">
        <v>7</v>
      </c>
      <c r="F790" t="b">
        <v>0</v>
      </c>
      <c r="G790">
        <v>6</v>
      </c>
      <c r="H790">
        <v>3</v>
      </c>
      <c r="I790">
        <v>0.22</v>
      </c>
      <c r="J790">
        <v>0.2576</v>
      </c>
      <c r="K790">
        <v>0.93</v>
      </c>
      <c r="L790">
        <v>8.9599999999999999E-2</v>
      </c>
      <c r="M790">
        <v>0</v>
      </c>
      <c r="N790">
        <v>4</v>
      </c>
      <c r="O790">
        <v>4</v>
      </c>
    </row>
    <row r="791" spans="1:15" x14ac:dyDescent="0.25">
      <c r="A791">
        <v>790</v>
      </c>
      <c r="B791" s="2">
        <v>40579</v>
      </c>
      <c r="C791">
        <v>1</v>
      </c>
      <c r="D791">
        <v>2</v>
      </c>
      <c r="E791">
        <v>8</v>
      </c>
      <c r="F791" t="b">
        <v>0</v>
      </c>
      <c r="G791">
        <v>6</v>
      </c>
      <c r="H791">
        <v>3</v>
      </c>
      <c r="I791">
        <v>0.2</v>
      </c>
      <c r="J791">
        <v>0.2273</v>
      </c>
      <c r="K791">
        <v>1</v>
      </c>
      <c r="L791">
        <v>8.9599999999999999E-2</v>
      </c>
      <c r="M791">
        <v>0</v>
      </c>
      <c r="N791">
        <v>10</v>
      </c>
      <c r="O791">
        <v>10</v>
      </c>
    </row>
    <row r="792" spans="1:15" x14ac:dyDescent="0.25">
      <c r="A792">
        <v>791</v>
      </c>
      <c r="B792" s="2">
        <v>40579</v>
      </c>
      <c r="C792">
        <v>1</v>
      </c>
      <c r="D792">
        <v>2</v>
      </c>
      <c r="E792">
        <v>9</v>
      </c>
      <c r="F792" t="b">
        <v>0</v>
      </c>
      <c r="G792">
        <v>6</v>
      </c>
      <c r="H792">
        <v>3</v>
      </c>
      <c r="I792">
        <v>0.2</v>
      </c>
      <c r="J792">
        <v>0.2273</v>
      </c>
      <c r="K792">
        <v>1</v>
      </c>
      <c r="L792">
        <v>8.9599999999999999E-2</v>
      </c>
      <c r="M792">
        <v>3</v>
      </c>
      <c r="N792">
        <v>17</v>
      </c>
      <c r="O792">
        <v>20</v>
      </c>
    </row>
    <row r="793" spans="1:15" x14ac:dyDescent="0.25">
      <c r="A793">
        <v>792</v>
      </c>
      <c r="B793" s="2">
        <v>40579</v>
      </c>
      <c r="C793">
        <v>1</v>
      </c>
      <c r="D793">
        <v>2</v>
      </c>
      <c r="E793">
        <v>10</v>
      </c>
      <c r="F793" t="b">
        <v>0</v>
      </c>
      <c r="G793">
        <v>6</v>
      </c>
      <c r="H793">
        <v>3</v>
      </c>
      <c r="I793">
        <v>0.2</v>
      </c>
      <c r="J793">
        <v>0.21210000000000001</v>
      </c>
      <c r="K793">
        <v>1</v>
      </c>
      <c r="L793">
        <v>0.1343</v>
      </c>
      <c r="M793">
        <v>3</v>
      </c>
      <c r="N793">
        <v>31</v>
      </c>
      <c r="O793">
        <v>34</v>
      </c>
    </row>
    <row r="794" spans="1:15" x14ac:dyDescent="0.25">
      <c r="A794">
        <v>793</v>
      </c>
      <c r="B794" s="2">
        <v>40579</v>
      </c>
      <c r="C794">
        <v>1</v>
      </c>
      <c r="D794">
        <v>2</v>
      </c>
      <c r="E794">
        <v>11</v>
      </c>
      <c r="F794" t="b">
        <v>0</v>
      </c>
      <c r="G794">
        <v>6</v>
      </c>
      <c r="H794">
        <v>3</v>
      </c>
      <c r="I794">
        <v>0.22</v>
      </c>
      <c r="J794">
        <v>0.2273</v>
      </c>
      <c r="K794">
        <v>1</v>
      </c>
      <c r="L794">
        <v>0.1343</v>
      </c>
      <c r="M794">
        <v>1</v>
      </c>
      <c r="N794">
        <v>46</v>
      </c>
      <c r="O794">
        <v>47</v>
      </c>
    </row>
    <row r="795" spans="1:15" x14ac:dyDescent="0.25">
      <c r="A795">
        <v>794</v>
      </c>
      <c r="B795" s="2">
        <v>40579</v>
      </c>
      <c r="C795">
        <v>1</v>
      </c>
      <c r="D795">
        <v>2</v>
      </c>
      <c r="E795">
        <v>12</v>
      </c>
      <c r="F795" t="b">
        <v>0</v>
      </c>
      <c r="G795">
        <v>6</v>
      </c>
      <c r="H795">
        <v>3</v>
      </c>
      <c r="I795">
        <v>0.22</v>
      </c>
      <c r="J795">
        <v>0.2273</v>
      </c>
      <c r="K795">
        <v>1</v>
      </c>
      <c r="L795">
        <v>0.16420000000000001</v>
      </c>
      <c r="M795">
        <v>10</v>
      </c>
      <c r="N795">
        <v>42</v>
      </c>
      <c r="O795">
        <v>52</v>
      </c>
    </row>
    <row r="796" spans="1:15" x14ac:dyDescent="0.25">
      <c r="A796">
        <v>795</v>
      </c>
      <c r="B796" s="2">
        <v>40579</v>
      </c>
      <c r="C796">
        <v>1</v>
      </c>
      <c r="D796">
        <v>2</v>
      </c>
      <c r="E796">
        <v>13</v>
      </c>
      <c r="F796" t="b">
        <v>0</v>
      </c>
      <c r="G796">
        <v>6</v>
      </c>
      <c r="H796">
        <v>3</v>
      </c>
      <c r="I796">
        <v>0.22</v>
      </c>
      <c r="J796">
        <v>0.2273</v>
      </c>
      <c r="K796">
        <v>1</v>
      </c>
      <c r="L796">
        <v>0.16420000000000001</v>
      </c>
      <c r="M796">
        <v>10</v>
      </c>
      <c r="N796">
        <v>62</v>
      </c>
      <c r="O796">
        <v>72</v>
      </c>
    </row>
    <row r="797" spans="1:15" x14ac:dyDescent="0.25">
      <c r="A797">
        <v>796</v>
      </c>
      <c r="B797" s="2">
        <v>40579</v>
      </c>
      <c r="C797">
        <v>1</v>
      </c>
      <c r="D797">
        <v>2</v>
      </c>
      <c r="E797">
        <v>14</v>
      </c>
      <c r="F797" t="b">
        <v>0</v>
      </c>
      <c r="G797">
        <v>6</v>
      </c>
      <c r="H797">
        <v>3</v>
      </c>
      <c r="I797">
        <v>0.22</v>
      </c>
      <c r="J797">
        <v>0.2727</v>
      </c>
      <c r="K797">
        <v>1</v>
      </c>
      <c r="L797">
        <f t="shared" ref="L797:L798" si="8">AVERAGE(J797:K797)</f>
        <v>0.63634999999999997</v>
      </c>
      <c r="M797">
        <v>5</v>
      </c>
      <c r="N797">
        <v>50</v>
      </c>
      <c r="O797">
        <v>55</v>
      </c>
    </row>
    <row r="798" spans="1:15" x14ac:dyDescent="0.25">
      <c r="A798">
        <v>797</v>
      </c>
      <c r="B798" s="2">
        <v>40579</v>
      </c>
      <c r="C798">
        <v>1</v>
      </c>
      <c r="D798">
        <v>2</v>
      </c>
      <c r="E798">
        <v>15</v>
      </c>
      <c r="F798" t="b">
        <v>0</v>
      </c>
      <c r="G798">
        <v>6</v>
      </c>
      <c r="H798">
        <v>3</v>
      </c>
      <c r="I798">
        <v>0.22</v>
      </c>
      <c r="J798">
        <v>0.2727</v>
      </c>
      <c r="K798">
        <v>1</v>
      </c>
      <c r="L798">
        <f t="shared" si="8"/>
        <v>0.63634999999999997</v>
      </c>
      <c r="M798">
        <v>11</v>
      </c>
      <c r="N798">
        <v>49</v>
      </c>
      <c r="O798">
        <v>60</v>
      </c>
    </row>
    <row r="799" spans="1:15" x14ac:dyDescent="0.25">
      <c r="A799">
        <v>798</v>
      </c>
      <c r="B799" s="2">
        <v>40579</v>
      </c>
      <c r="C799">
        <v>1</v>
      </c>
      <c r="D799">
        <v>2</v>
      </c>
      <c r="E799">
        <v>16</v>
      </c>
      <c r="F799" t="b">
        <v>0</v>
      </c>
      <c r="G799">
        <v>6</v>
      </c>
      <c r="H799">
        <v>3</v>
      </c>
      <c r="I799">
        <v>0.22</v>
      </c>
      <c r="J799">
        <v>0.2273</v>
      </c>
      <c r="K799">
        <v>1</v>
      </c>
      <c r="L799">
        <v>0.1343</v>
      </c>
      <c r="M799">
        <v>8</v>
      </c>
      <c r="N799">
        <v>63</v>
      </c>
      <c r="O799">
        <v>71</v>
      </c>
    </row>
    <row r="800" spans="1:15" x14ac:dyDescent="0.25">
      <c r="A800">
        <v>799</v>
      </c>
      <c r="B800" s="2">
        <v>40579</v>
      </c>
      <c r="C800">
        <v>1</v>
      </c>
      <c r="D800">
        <v>2</v>
      </c>
      <c r="E800">
        <v>17</v>
      </c>
      <c r="F800" t="b">
        <v>0</v>
      </c>
      <c r="G800">
        <v>6</v>
      </c>
      <c r="H800">
        <v>2</v>
      </c>
      <c r="I800">
        <v>0.24</v>
      </c>
      <c r="J800">
        <v>0.21210000000000001</v>
      </c>
      <c r="K800">
        <v>1</v>
      </c>
      <c r="L800">
        <v>0.28360000000000002</v>
      </c>
      <c r="M800">
        <v>14</v>
      </c>
      <c r="N800">
        <v>64</v>
      </c>
      <c r="O800">
        <v>78</v>
      </c>
    </row>
    <row r="801" spans="1:15" x14ac:dyDescent="0.25">
      <c r="A801">
        <v>800</v>
      </c>
      <c r="B801" s="2">
        <v>40579</v>
      </c>
      <c r="C801">
        <v>1</v>
      </c>
      <c r="D801">
        <v>2</v>
      </c>
      <c r="E801">
        <v>18</v>
      </c>
      <c r="F801" t="b">
        <v>0</v>
      </c>
      <c r="G801">
        <v>6</v>
      </c>
      <c r="H801">
        <v>2</v>
      </c>
      <c r="I801">
        <v>0.28000000000000003</v>
      </c>
      <c r="J801">
        <v>0.2424</v>
      </c>
      <c r="K801">
        <v>0.93</v>
      </c>
      <c r="L801">
        <v>0.44779999999999998</v>
      </c>
      <c r="M801">
        <v>2</v>
      </c>
      <c r="N801">
        <v>81</v>
      </c>
      <c r="O801">
        <v>83</v>
      </c>
    </row>
    <row r="802" spans="1:15" x14ac:dyDescent="0.25">
      <c r="A802">
        <v>801</v>
      </c>
      <c r="B802" s="2">
        <v>40579</v>
      </c>
      <c r="C802">
        <v>1</v>
      </c>
      <c r="D802">
        <v>2</v>
      </c>
      <c r="E802">
        <v>19</v>
      </c>
      <c r="F802" t="b">
        <v>0</v>
      </c>
      <c r="G802">
        <v>6</v>
      </c>
      <c r="H802">
        <v>2</v>
      </c>
      <c r="I802">
        <v>0.28000000000000003</v>
      </c>
      <c r="J802">
        <v>0.2424</v>
      </c>
      <c r="K802">
        <v>0.93</v>
      </c>
      <c r="L802">
        <v>0.44779999999999998</v>
      </c>
      <c r="M802">
        <v>6</v>
      </c>
      <c r="N802">
        <v>78</v>
      </c>
      <c r="O802">
        <v>84</v>
      </c>
    </row>
    <row r="803" spans="1:15" x14ac:dyDescent="0.25">
      <c r="A803">
        <v>802</v>
      </c>
      <c r="B803" s="2">
        <v>40579</v>
      </c>
      <c r="C803">
        <v>1</v>
      </c>
      <c r="D803">
        <v>2</v>
      </c>
      <c r="E803">
        <v>20</v>
      </c>
      <c r="F803" t="b">
        <v>0</v>
      </c>
      <c r="G803">
        <v>6</v>
      </c>
      <c r="H803">
        <v>1</v>
      </c>
      <c r="I803">
        <v>0.3</v>
      </c>
      <c r="J803">
        <v>0.28789999999999999</v>
      </c>
      <c r="K803">
        <v>0.87</v>
      </c>
      <c r="L803">
        <v>0.25369999999999998</v>
      </c>
      <c r="M803">
        <v>5</v>
      </c>
      <c r="N803">
        <v>64</v>
      </c>
      <c r="O803">
        <v>69</v>
      </c>
    </row>
    <row r="804" spans="1:15" x14ac:dyDescent="0.25">
      <c r="A804">
        <v>803</v>
      </c>
      <c r="B804" s="2">
        <v>40579</v>
      </c>
      <c r="C804">
        <v>1</v>
      </c>
      <c r="D804">
        <v>2</v>
      </c>
      <c r="E804">
        <v>21</v>
      </c>
      <c r="F804" t="b">
        <v>0</v>
      </c>
      <c r="G804">
        <v>6</v>
      </c>
      <c r="H804">
        <v>1</v>
      </c>
      <c r="I804">
        <v>0.26</v>
      </c>
      <c r="J804">
        <v>0.2576</v>
      </c>
      <c r="K804">
        <v>1</v>
      </c>
      <c r="L804">
        <v>0.19400000000000001</v>
      </c>
      <c r="M804">
        <v>3</v>
      </c>
      <c r="N804">
        <v>53</v>
      </c>
      <c r="O804">
        <v>56</v>
      </c>
    </row>
    <row r="805" spans="1:15" x14ac:dyDescent="0.25">
      <c r="A805">
        <v>804</v>
      </c>
      <c r="B805" s="2">
        <v>40579</v>
      </c>
      <c r="C805">
        <v>1</v>
      </c>
      <c r="D805">
        <v>2</v>
      </c>
      <c r="E805">
        <v>22</v>
      </c>
      <c r="F805" t="b">
        <v>0</v>
      </c>
      <c r="G805">
        <v>6</v>
      </c>
      <c r="H805">
        <v>1</v>
      </c>
      <c r="I805">
        <v>0.26</v>
      </c>
      <c r="J805">
        <v>0.2727</v>
      </c>
      <c r="K805">
        <v>0.93</v>
      </c>
      <c r="L805">
        <v>0.1343</v>
      </c>
      <c r="M805">
        <v>2</v>
      </c>
      <c r="N805">
        <v>43</v>
      </c>
      <c r="O805">
        <v>45</v>
      </c>
    </row>
    <row r="806" spans="1:15" x14ac:dyDescent="0.25">
      <c r="A806">
        <v>805</v>
      </c>
      <c r="B806" s="2">
        <v>40579</v>
      </c>
      <c r="C806">
        <v>1</v>
      </c>
      <c r="D806">
        <v>2</v>
      </c>
      <c r="E806">
        <v>23</v>
      </c>
      <c r="F806" t="b">
        <v>0</v>
      </c>
      <c r="G806">
        <v>6</v>
      </c>
      <c r="H806">
        <v>1</v>
      </c>
      <c r="I806">
        <v>0.26</v>
      </c>
      <c r="J806">
        <v>0.2576</v>
      </c>
      <c r="K806">
        <v>0.93</v>
      </c>
      <c r="L806">
        <v>0.22389999999999999</v>
      </c>
      <c r="M806">
        <v>7</v>
      </c>
      <c r="N806">
        <v>52</v>
      </c>
      <c r="O806">
        <v>59</v>
      </c>
    </row>
    <row r="807" spans="1:15" x14ac:dyDescent="0.25">
      <c r="A807">
        <v>806</v>
      </c>
      <c r="B807" s="2">
        <v>40580</v>
      </c>
      <c r="C807">
        <v>1</v>
      </c>
      <c r="D807">
        <v>2</v>
      </c>
      <c r="E807">
        <v>0</v>
      </c>
      <c r="F807" t="b">
        <v>0</v>
      </c>
      <c r="G807">
        <v>0</v>
      </c>
      <c r="H807">
        <v>1</v>
      </c>
      <c r="I807">
        <v>0.26</v>
      </c>
      <c r="J807">
        <v>0.2576</v>
      </c>
      <c r="K807">
        <v>0.7</v>
      </c>
      <c r="L807">
        <v>0.19400000000000001</v>
      </c>
      <c r="M807">
        <v>2</v>
      </c>
      <c r="N807">
        <v>37</v>
      </c>
      <c r="O807">
        <v>39</v>
      </c>
    </row>
    <row r="808" spans="1:15" x14ac:dyDescent="0.25">
      <c r="A808">
        <v>807</v>
      </c>
      <c r="B808" s="2">
        <v>40580</v>
      </c>
      <c r="C808">
        <v>1</v>
      </c>
      <c r="D808">
        <v>2</v>
      </c>
      <c r="E808">
        <v>1</v>
      </c>
      <c r="F808" t="b">
        <v>0</v>
      </c>
      <c r="G808">
        <v>0</v>
      </c>
      <c r="H808">
        <v>1</v>
      </c>
      <c r="I808">
        <v>0.26</v>
      </c>
      <c r="J808">
        <v>0.2273</v>
      </c>
      <c r="K808">
        <v>0.65</v>
      </c>
      <c r="L808">
        <v>0.41789999999999999</v>
      </c>
      <c r="M808">
        <v>4</v>
      </c>
      <c r="N808">
        <v>40</v>
      </c>
      <c r="O808">
        <v>44</v>
      </c>
    </row>
    <row r="809" spans="1:15" x14ac:dyDescent="0.25">
      <c r="A809">
        <v>808</v>
      </c>
      <c r="B809" s="2">
        <v>40580</v>
      </c>
      <c r="C809">
        <v>1</v>
      </c>
      <c r="D809">
        <v>2</v>
      </c>
      <c r="E809">
        <v>2</v>
      </c>
      <c r="F809" t="b">
        <v>0</v>
      </c>
      <c r="G809">
        <v>0</v>
      </c>
      <c r="H809">
        <v>1</v>
      </c>
      <c r="I809">
        <v>0.26</v>
      </c>
      <c r="J809">
        <v>0.2273</v>
      </c>
      <c r="K809">
        <v>0.6</v>
      </c>
      <c r="L809">
        <v>0.32840000000000003</v>
      </c>
      <c r="M809">
        <v>0</v>
      </c>
      <c r="N809">
        <v>20</v>
      </c>
      <c r="O809">
        <v>20</v>
      </c>
    </row>
    <row r="810" spans="1:15" x14ac:dyDescent="0.25">
      <c r="A810">
        <v>809</v>
      </c>
      <c r="B810" s="2">
        <v>40580</v>
      </c>
      <c r="C810">
        <v>1</v>
      </c>
      <c r="D810">
        <v>2</v>
      </c>
      <c r="E810">
        <v>3</v>
      </c>
      <c r="F810" t="b">
        <v>0</v>
      </c>
      <c r="G810">
        <v>0</v>
      </c>
      <c r="H810">
        <v>1</v>
      </c>
      <c r="I810">
        <v>0.26</v>
      </c>
      <c r="J810">
        <v>0.28789999999999999</v>
      </c>
      <c r="K810">
        <v>0.6</v>
      </c>
      <c r="L810">
        <v>8.9599999999999999E-2</v>
      </c>
      <c r="M810">
        <v>3</v>
      </c>
      <c r="N810">
        <v>10</v>
      </c>
      <c r="O810">
        <v>13</v>
      </c>
    </row>
    <row r="811" spans="1:15" x14ac:dyDescent="0.25">
      <c r="A811">
        <v>810</v>
      </c>
      <c r="B811" s="2">
        <v>40580</v>
      </c>
      <c r="C811">
        <v>1</v>
      </c>
      <c r="D811">
        <v>2</v>
      </c>
      <c r="E811">
        <v>4</v>
      </c>
      <c r="F811" t="b">
        <v>0</v>
      </c>
      <c r="G811">
        <v>0</v>
      </c>
      <c r="H811">
        <v>1</v>
      </c>
      <c r="I811">
        <v>0.26</v>
      </c>
      <c r="J811">
        <v>0.2273</v>
      </c>
      <c r="K811">
        <v>0.6</v>
      </c>
      <c r="L811">
        <v>0.35820000000000002</v>
      </c>
      <c r="M811">
        <v>0</v>
      </c>
      <c r="N811">
        <v>2</v>
      </c>
      <c r="O811">
        <v>2</v>
      </c>
    </row>
    <row r="812" spans="1:15" x14ac:dyDescent="0.25">
      <c r="A812">
        <v>811</v>
      </c>
      <c r="B812" s="2">
        <v>40580</v>
      </c>
      <c r="C812">
        <v>1</v>
      </c>
      <c r="D812">
        <v>2</v>
      </c>
      <c r="E812">
        <v>5</v>
      </c>
      <c r="F812" t="b">
        <v>0</v>
      </c>
      <c r="G812">
        <v>0</v>
      </c>
      <c r="H812">
        <v>1</v>
      </c>
      <c r="I812">
        <v>0.26</v>
      </c>
      <c r="J812">
        <v>0.2576</v>
      </c>
      <c r="K812">
        <v>0.6</v>
      </c>
      <c r="L812">
        <v>0.22389999999999999</v>
      </c>
      <c r="M812">
        <v>0</v>
      </c>
      <c r="N812">
        <v>1</v>
      </c>
      <c r="O812">
        <v>1</v>
      </c>
    </row>
    <row r="813" spans="1:15" x14ac:dyDescent="0.25">
      <c r="A813">
        <v>812</v>
      </c>
      <c r="B813" s="2">
        <v>40580</v>
      </c>
      <c r="C813">
        <v>1</v>
      </c>
      <c r="D813">
        <v>2</v>
      </c>
      <c r="E813">
        <v>6</v>
      </c>
      <c r="F813" t="b">
        <v>0</v>
      </c>
      <c r="G813">
        <v>0</v>
      </c>
      <c r="H813">
        <v>1</v>
      </c>
      <c r="I813">
        <v>0.26</v>
      </c>
      <c r="J813">
        <v>0.2576</v>
      </c>
      <c r="K813">
        <v>0.6</v>
      </c>
      <c r="L813">
        <v>0.22389999999999999</v>
      </c>
      <c r="M813">
        <v>0</v>
      </c>
      <c r="N813">
        <v>1</v>
      </c>
      <c r="O813">
        <v>1</v>
      </c>
    </row>
    <row r="814" spans="1:15" x14ac:dyDescent="0.25">
      <c r="A814">
        <v>813</v>
      </c>
      <c r="B814" s="2">
        <v>40580</v>
      </c>
      <c r="C814">
        <v>1</v>
      </c>
      <c r="D814">
        <v>2</v>
      </c>
      <c r="E814">
        <v>7</v>
      </c>
      <c r="F814" t="b">
        <v>0</v>
      </c>
      <c r="G814">
        <v>0</v>
      </c>
      <c r="H814">
        <v>1</v>
      </c>
      <c r="I814">
        <v>0.24</v>
      </c>
      <c r="J814">
        <v>0.2424</v>
      </c>
      <c r="K814">
        <v>0.65</v>
      </c>
      <c r="L814">
        <v>0.16420000000000001</v>
      </c>
      <c r="M814">
        <v>0</v>
      </c>
      <c r="N814">
        <v>8</v>
      </c>
      <c r="O814">
        <v>8</v>
      </c>
    </row>
    <row r="815" spans="1:15" x14ac:dyDescent="0.25">
      <c r="A815">
        <v>814</v>
      </c>
      <c r="B815" s="2">
        <v>40580</v>
      </c>
      <c r="C815">
        <v>1</v>
      </c>
      <c r="D815">
        <v>2</v>
      </c>
      <c r="E815">
        <v>8</v>
      </c>
      <c r="F815" t="b">
        <v>0</v>
      </c>
      <c r="G815">
        <v>0</v>
      </c>
      <c r="H815">
        <v>1</v>
      </c>
      <c r="I815">
        <v>0.24</v>
      </c>
      <c r="J815">
        <v>0.2576</v>
      </c>
      <c r="K815">
        <v>0.65</v>
      </c>
      <c r="L815">
        <v>0.1045</v>
      </c>
      <c r="M815">
        <v>2</v>
      </c>
      <c r="N815">
        <v>21</v>
      </c>
      <c r="O815">
        <v>23</v>
      </c>
    </row>
    <row r="816" spans="1:15" x14ac:dyDescent="0.25">
      <c r="A816">
        <v>815</v>
      </c>
      <c r="B816" s="2">
        <v>40580</v>
      </c>
      <c r="C816">
        <v>1</v>
      </c>
      <c r="D816">
        <v>2</v>
      </c>
      <c r="E816">
        <v>9</v>
      </c>
      <c r="F816" t="b">
        <v>0</v>
      </c>
      <c r="G816">
        <v>0</v>
      </c>
      <c r="H816">
        <v>1</v>
      </c>
      <c r="I816">
        <v>0.28000000000000003</v>
      </c>
      <c r="J816">
        <v>0.28789999999999999</v>
      </c>
      <c r="K816">
        <v>0.56000000000000005</v>
      </c>
      <c r="L816">
        <v>0.1045</v>
      </c>
      <c r="M816">
        <v>7</v>
      </c>
      <c r="N816">
        <v>38</v>
      </c>
      <c r="O816">
        <v>45</v>
      </c>
    </row>
    <row r="817" spans="1:15" x14ac:dyDescent="0.25">
      <c r="A817">
        <v>816</v>
      </c>
      <c r="B817" s="2">
        <v>40580</v>
      </c>
      <c r="C817">
        <v>1</v>
      </c>
      <c r="D817">
        <v>2</v>
      </c>
      <c r="E817">
        <v>10</v>
      </c>
      <c r="F817" t="b">
        <v>0</v>
      </c>
      <c r="G817">
        <v>0</v>
      </c>
      <c r="H817">
        <v>1</v>
      </c>
      <c r="I817">
        <v>0.3</v>
      </c>
      <c r="J817">
        <v>0.28789999999999999</v>
      </c>
      <c r="K817">
        <v>0.52</v>
      </c>
      <c r="L817">
        <v>0.25369999999999998</v>
      </c>
      <c r="M817">
        <v>15</v>
      </c>
      <c r="N817">
        <v>74</v>
      </c>
      <c r="O817">
        <v>89</v>
      </c>
    </row>
    <row r="818" spans="1:15" x14ac:dyDescent="0.25">
      <c r="A818">
        <v>817</v>
      </c>
      <c r="B818" s="2">
        <v>40580</v>
      </c>
      <c r="C818">
        <v>1</v>
      </c>
      <c r="D818">
        <v>2</v>
      </c>
      <c r="E818">
        <v>11</v>
      </c>
      <c r="F818" t="b">
        <v>0</v>
      </c>
      <c r="G818">
        <v>0</v>
      </c>
      <c r="H818">
        <v>1</v>
      </c>
      <c r="I818">
        <v>0.32</v>
      </c>
      <c r="J818">
        <v>0.30299999999999999</v>
      </c>
      <c r="K818">
        <v>0.49</v>
      </c>
      <c r="L818">
        <v>0.25369999999999998</v>
      </c>
      <c r="M818">
        <v>28</v>
      </c>
      <c r="N818">
        <v>89</v>
      </c>
      <c r="O818">
        <v>117</v>
      </c>
    </row>
    <row r="819" spans="1:15" x14ac:dyDescent="0.25">
      <c r="A819">
        <v>818</v>
      </c>
      <c r="B819" s="2">
        <v>40580</v>
      </c>
      <c r="C819">
        <v>1</v>
      </c>
      <c r="D819">
        <v>2</v>
      </c>
      <c r="E819">
        <v>12</v>
      </c>
      <c r="F819" t="b">
        <v>0</v>
      </c>
      <c r="G819">
        <v>0</v>
      </c>
      <c r="H819">
        <v>1</v>
      </c>
      <c r="I819">
        <v>0.34</v>
      </c>
      <c r="J819">
        <v>0.33329999999999999</v>
      </c>
      <c r="K819">
        <v>0.46</v>
      </c>
      <c r="L819">
        <f t="shared" ref="L819:L820" si="9">AVERAGE(J819:K819)</f>
        <v>0.39665</v>
      </c>
      <c r="M819">
        <v>48</v>
      </c>
      <c r="N819">
        <v>126</v>
      </c>
      <c r="O819">
        <v>174</v>
      </c>
    </row>
    <row r="820" spans="1:15" x14ac:dyDescent="0.25">
      <c r="A820">
        <v>819</v>
      </c>
      <c r="B820" s="2">
        <v>40580</v>
      </c>
      <c r="C820">
        <v>1</v>
      </c>
      <c r="D820">
        <v>2</v>
      </c>
      <c r="E820">
        <v>13</v>
      </c>
      <c r="F820" t="b">
        <v>0</v>
      </c>
      <c r="G820">
        <v>0</v>
      </c>
      <c r="H820">
        <v>1</v>
      </c>
      <c r="I820">
        <v>0.34</v>
      </c>
      <c r="J820">
        <v>0.36359999999999998</v>
      </c>
      <c r="K820">
        <v>0.46</v>
      </c>
      <c r="L820">
        <f t="shared" si="9"/>
        <v>0.4118</v>
      </c>
      <c r="M820">
        <v>47</v>
      </c>
      <c r="N820">
        <v>135</v>
      </c>
      <c r="O820">
        <v>182</v>
      </c>
    </row>
    <row r="821" spans="1:15" x14ac:dyDescent="0.25">
      <c r="A821">
        <v>820</v>
      </c>
      <c r="B821" s="2">
        <v>40580</v>
      </c>
      <c r="C821">
        <v>1</v>
      </c>
      <c r="D821">
        <v>2</v>
      </c>
      <c r="E821">
        <v>14</v>
      </c>
      <c r="F821" t="b">
        <v>0</v>
      </c>
      <c r="G821">
        <v>0</v>
      </c>
      <c r="H821">
        <v>1</v>
      </c>
      <c r="I821">
        <v>0.34</v>
      </c>
      <c r="J821">
        <v>0.34849999999999998</v>
      </c>
      <c r="K821">
        <v>0.46</v>
      </c>
      <c r="L821">
        <v>8.9599999999999999E-2</v>
      </c>
      <c r="M821">
        <v>47</v>
      </c>
      <c r="N821">
        <v>114</v>
      </c>
      <c r="O821">
        <v>161</v>
      </c>
    </row>
    <row r="822" spans="1:15" x14ac:dyDescent="0.25">
      <c r="A822">
        <v>821</v>
      </c>
      <c r="B822" s="2">
        <v>40580</v>
      </c>
      <c r="C822">
        <v>1</v>
      </c>
      <c r="D822">
        <v>2</v>
      </c>
      <c r="E822">
        <v>15</v>
      </c>
      <c r="F822" t="b">
        <v>0</v>
      </c>
      <c r="G822">
        <v>0</v>
      </c>
      <c r="H822">
        <v>1</v>
      </c>
      <c r="I822">
        <v>0.34</v>
      </c>
      <c r="J822">
        <v>0.34849999999999998</v>
      </c>
      <c r="K822">
        <v>0.46</v>
      </c>
      <c r="L822">
        <v>8.9599999999999999E-2</v>
      </c>
      <c r="M822">
        <v>52</v>
      </c>
      <c r="N822">
        <v>130</v>
      </c>
      <c r="O822">
        <v>182</v>
      </c>
    </row>
    <row r="823" spans="1:15" x14ac:dyDescent="0.25">
      <c r="A823">
        <v>822</v>
      </c>
      <c r="B823" s="2">
        <v>40580</v>
      </c>
      <c r="C823">
        <v>1</v>
      </c>
      <c r="D823">
        <v>2</v>
      </c>
      <c r="E823">
        <v>16</v>
      </c>
      <c r="F823" t="b">
        <v>0</v>
      </c>
      <c r="G823">
        <v>0</v>
      </c>
      <c r="H823">
        <v>1</v>
      </c>
      <c r="I823">
        <v>0.34</v>
      </c>
      <c r="J823">
        <v>0.34849999999999998</v>
      </c>
      <c r="K823">
        <v>0.49</v>
      </c>
      <c r="L823">
        <v>0.1045</v>
      </c>
      <c r="M823">
        <v>42</v>
      </c>
      <c r="N823">
        <v>115</v>
      </c>
      <c r="O823">
        <v>157</v>
      </c>
    </row>
    <row r="824" spans="1:15" x14ac:dyDescent="0.25">
      <c r="A824">
        <v>823</v>
      </c>
      <c r="B824" s="2">
        <v>40580</v>
      </c>
      <c r="C824">
        <v>1</v>
      </c>
      <c r="D824">
        <v>2</v>
      </c>
      <c r="E824">
        <v>17</v>
      </c>
      <c r="F824" t="b">
        <v>0</v>
      </c>
      <c r="G824">
        <v>0</v>
      </c>
      <c r="H824">
        <v>1</v>
      </c>
      <c r="I824">
        <v>0.34</v>
      </c>
      <c r="J824">
        <v>0.36359999999999998</v>
      </c>
      <c r="K824">
        <v>0.46</v>
      </c>
      <c r="L824">
        <f t="shared" ref="L824" si="10">AVERAGE(J824:K824)</f>
        <v>0.4118</v>
      </c>
      <c r="M824">
        <v>24</v>
      </c>
      <c r="N824">
        <v>97</v>
      </c>
      <c r="O824">
        <v>121</v>
      </c>
    </row>
    <row r="825" spans="1:15" x14ac:dyDescent="0.25">
      <c r="A825">
        <v>824</v>
      </c>
      <c r="B825" s="2">
        <v>40580</v>
      </c>
      <c r="C825">
        <v>1</v>
      </c>
      <c r="D825">
        <v>2</v>
      </c>
      <c r="E825">
        <v>18</v>
      </c>
      <c r="F825" t="b">
        <v>0</v>
      </c>
      <c r="G825">
        <v>0</v>
      </c>
      <c r="H825">
        <v>1</v>
      </c>
      <c r="I825">
        <v>0.3</v>
      </c>
      <c r="J825">
        <v>0.30299999999999999</v>
      </c>
      <c r="K825">
        <v>0.56000000000000005</v>
      </c>
      <c r="L825">
        <v>0.16420000000000001</v>
      </c>
      <c r="M825">
        <v>13</v>
      </c>
      <c r="N825">
        <v>65</v>
      </c>
      <c r="O825">
        <v>78</v>
      </c>
    </row>
    <row r="826" spans="1:15" x14ac:dyDescent="0.25">
      <c r="A826">
        <v>825</v>
      </c>
      <c r="B826" s="2">
        <v>40580</v>
      </c>
      <c r="C826">
        <v>1</v>
      </c>
      <c r="D826">
        <v>2</v>
      </c>
      <c r="E826">
        <v>19</v>
      </c>
      <c r="F826" t="b">
        <v>0</v>
      </c>
      <c r="G826">
        <v>0</v>
      </c>
      <c r="H826">
        <v>1</v>
      </c>
      <c r="I826">
        <v>0.28000000000000003</v>
      </c>
      <c r="J826">
        <v>0.28789999999999999</v>
      </c>
      <c r="K826">
        <v>0.61</v>
      </c>
      <c r="L826">
        <v>0.1343</v>
      </c>
      <c r="M826">
        <v>1</v>
      </c>
      <c r="N826">
        <v>20</v>
      </c>
      <c r="O826">
        <v>21</v>
      </c>
    </row>
    <row r="827" spans="1:15" x14ac:dyDescent="0.25">
      <c r="A827">
        <v>826</v>
      </c>
      <c r="B827" s="2">
        <v>40580</v>
      </c>
      <c r="C827">
        <v>1</v>
      </c>
      <c r="D827">
        <v>2</v>
      </c>
      <c r="E827">
        <v>20</v>
      </c>
      <c r="F827" t="b">
        <v>0</v>
      </c>
      <c r="G827">
        <v>0</v>
      </c>
      <c r="H827">
        <v>1</v>
      </c>
      <c r="I827">
        <v>0.28000000000000003</v>
      </c>
      <c r="J827">
        <v>0.28789999999999999</v>
      </c>
      <c r="K827">
        <v>0.61</v>
      </c>
      <c r="L827">
        <v>0.1045</v>
      </c>
      <c r="M827">
        <v>5</v>
      </c>
      <c r="N827">
        <v>21</v>
      </c>
      <c r="O827">
        <v>26</v>
      </c>
    </row>
    <row r="828" spans="1:15" x14ac:dyDescent="0.25">
      <c r="A828">
        <v>827</v>
      </c>
      <c r="B828" s="2">
        <v>40580</v>
      </c>
      <c r="C828">
        <v>1</v>
      </c>
      <c r="D828">
        <v>2</v>
      </c>
      <c r="E828">
        <v>21</v>
      </c>
      <c r="F828" t="b">
        <v>0</v>
      </c>
      <c r="G828">
        <v>0</v>
      </c>
      <c r="H828">
        <v>1</v>
      </c>
      <c r="I828">
        <v>0.26</v>
      </c>
      <c r="J828">
        <v>0.30299999999999999</v>
      </c>
      <c r="K828">
        <v>0.6</v>
      </c>
      <c r="L828">
        <f t="shared" ref="L828:L840" si="11">AVERAGE(J828:K828)</f>
        <v>0.45150000000000001</v>
      </c>
      <c r="M828">
        <v>5</v>
      </c>
      <c r="N828">
        <v>22</v>
      </c>
      <c r="O828">
        <v>27</v>
      </c>
    </row>
    <row r="829" spans="1:15" x14ac:dyDescent="0.25">
      <c r="A829">
        <v>828</v>
      </c>
      <c r="B829" s="2">
        <v>40580</v>
      </c>
      <c r="C829">
        <v>1</v>
      </c>
      <c r="D829">
        <v>2</v>
      </c>
      <c r="E829">
        <v>22</v>
      </c>
      <c r="F829" t="b">
        <v>0</v>
      </c>
      <c r="G829">
        <v>0</v>
      </c>
      <c r="H829">
        <v>1</v>
      </c>
      <c r="I829">
        <v>0.26</v>
      </c>
      <c r="J829">
        <v>0.30299999999999999</v>
      </c>
      <c r="K829">
        <v>0.6</v>
      </c>
      <c r="L829">
        <f t="shared" si="11"/>
        <v>0.45150000000000001</v>
      </c>
      <c r="M829">
        <v>5</v>
      </c>
      <c r="N829">
        <v>57</v>
      </c>
      <c r="O829">
        <v>62</v>
      </c>
    </row>
    <row r="830" spans="1:15" x14ac:dyDescent="0.25">
      <c r="A830">
        <v>829</v>
      </c>
      <c r="B830" s="2">
        <v>40580</v>
      </c>
      <c r="C830">
        <v>1</v>
      </c>
      <c r="D830">
        <v>2</v>
      </c>
      <c r="E830">
        <v>23</v>
      </c>
      <c r="F830" t="b">
        <v>0</v>
      </c>
      <c r="G830">
        <v>0</v>
      </c>
      <c r="H830">
        <v>1</v>
      </c>
      <c r="I830">
        <v>0.24</v>
      </c>
      <c r="J830">
        <v>0.28789999999999999</v>
      </c>
      <c r="K830">
        <v>0.65</v>
      </c>
      <c r="L830">
        <f t="shared" si="11"/>
        <v>0.46894999999999998</v>
      </c>
      <c r="M830">
        <v>4</v>
      </c>
      <c r="N830">
        <v>26</v>
      </c>
      <c r="O830">
        <v>30</v>
      </c>
    </row>
    <row r="831" spans="1:15" x14ac:dyDescent="0.25">
      <c r="A831">
        <v>830</v>
      </c>
      <c r="B831" s="2">
        <v>40581</v>
      </c>
      <c r="C831">
        <v>1</v>
      </c>
      <c r="D831">
        <v>2</v>
      </c>
      <c r="E831">
        <v>0</v>
      </c>
      <c r="F831" t="b">
        <v>0</v>
      </c>
      <c r="G831">
        <v>1</v>
      </c>
      <c r="H831">
        <v>1</v>
      </c>
      <c r="I831">
        <v>0.24</v>
      </c>
      <c r="J831">
        <v>0.28789999999999999</v>
      </c>
      <c r="K831">
        <v>0.65</v>
      </c>
      <c r="L831">
        <f t="shared" si="11"/>
        <v>0.46894999999999998</v>
      </c>
      <c r="M831">
        <v>1</v>
      </c>
      <c r="N831">
        <v>14</v>
      </c>
      <c r="O831">
        <v>15</v>
      </c>
    </row>
    <row r="832" spans="1:15" x14ac:dyDescent="0.25">
      <c r="A832">
        <v>831</v>
      </c>
      <c r="B832" s="2">
        <v>40581</v>
      </c>
      <c r="C832">
        <v>1</v>
      </c>
      <c r="D832">
        <v>2</v>
      </c>
      <c r="E832">
        <v>1</v>
      </c>
      <c r="F832" t="b">
        <v>0</v>
      </c>
      <c r="G832">
        <v>1</v>
      </c>
      <c r="H832">
        <v>1</v>
      </c>
      <c r="I832">
        <v>0.22</v>
      </c>
      <c r="J832">
        <v>0.2727</v>
      </c>
      <c r="K832">
        <v>0.75</v>
      </c>
      <c r="L832">
        <f t="shared" si="11"/>
        <v>0.51134999999999997</v>
      </c>
      <c r="M832">
        <v>1</v>
      </c>
      <c r="N832">
        <v>4</v>
      </c>
      <c r="O832">
        <v>5</v>
      </c>
    </row>
    <row r="833" spans="1:15" x14ac:dyDescent="0.25">
      <c r="A833">
        <v>832</v>
      </c>
      <c r="B833" s="2">
        <v>40581</v>
      </c>
      <c r="C833">
        <v>1</v>
      </c>
      <c r="D833">
        <v>2</v>
      </c>
      <c r="E833">
        <v>2</v>
      </c>
      <c r="F833" t="b">
        <v>0</v>
      </c>
      <c r="G833">
        <v>1</v>
      </c>
      <c r="H833">
        <v>1</v>
      </c>
      <c r="I833">
        <v>0.2</v>
      </c>
      <c r="J833">
        <v>0.2576</v>
      </c>
      <c r="K833">
        <v>0.8</v>
      </c>
      <c r="L833">
        <f t="shared" si="11"/>
        <v>0.52880000000000005</v>
      </c>
      <c r="M833">
        <v>0</v>
      </c>
      <c r="N833">
        <v>3</v>
      </c>
      <c r="O833">
        <v>3</v>
      </c>
    </row>
    <row r="834" spans="1:15" x14ac:dyDescent="0.25">
      <c r="A834">
        <v>833</v>
      </c>
      <c r="B834" s="2">
        <v>40581</v>
      </c>
      <c r="C834">
        <v>1</v>
      </c>
      <c r="D834">
        <v>2</v>
      </c>
      <c r="E834">
        <v>3</v>
      </c>
      <c r="F834" t="b">
        <v>0</v>
      </c>
      <c r="G834">
        <v>1</v>
      </c>
      <c r="H834">
        <v>1</v>
      </c>
      <c r="I834">
        <v>0.2</v>
      </c>
      <c r="J834">
        <v>0.2576</v>
      </c>
      <c r="K834">
        <v>0.86</v>
      </c>
      <c r="L834">
        <f t="shared" si="11"/>
        <v>0.55879999999999996</v>
      </c>
      <c r="M834">
        <v>0</v>
      </c>
      <c r="N834">
        <v>1</v>
      </c>
      <c r="O834">
        <v>1</v>
      </c>
    </row>
    <row r="835" spans="1:15" x14ac:dyDescent="0.25">
      <c r="A835">
        <v>834</v>
      </c>
      <c r="B835" s="2">
        <v>40581</v>
      </c>
      <c r="C835">
        <v>1</v>
      </c>
      <c r="D835">
        <v>2</v>
      </c>
      <c r="E835">
        <v>4</v>
      </c>
      <c r="F835" t="b">
        <v>0</v>
      </c>
      <c r="G835">
        <v>1</v>
      </c>
      <c r="H835">
        <v>1</v>
      </c>
      <c r="I835">
        <v>0.2</v>
      </c>
      <c r="J835">
        <v>0.2576</v>
      </c>
      <c r="K835">
        <v>0.86</v>
      </c>
      <c r="L835">
        <f t="shared" si="11"/>
        <v>0.55879999999999996</v>
      </c>
      <c r="M835">
        <v>1</v>
      </c>
      <c r="N835">
        <v>1</v>
      </c>
      <c r="O835">
        <v>2</v>
      </c>
    </row>
    <row r="836" spans="1:15" x14ac:dyDescent="0.25">
      <c r="A836">
        <v>835</v>
      </c>
      <c r="B836" s="2">
        <v>40581</v>
      </c>
      <c r="C836">
        <v>1</v>
      </c>
      <c r="D836">
        <v>2</v>
      </c>
      <c r="E836">
        <v>5</v>
      </c>
      <c r="F836" t="b">
        <v>0</v>
      </c>
      <c r="G836">
        <v>1</v>
      </c>
      <c r="H836">
        <v>1</v>
      </c>
      <c r="I836">
        <v>0.2</v>
      </c>
      <c r="J836">
        <v>0.2576</v>
      </c>
      <c r="K836">
        <v>0.86</v>
      </c>
      <c r="L836">
        <f t="shared" si="11"/>
        <v>0.55879999999999996</v>
      </c>
      <c r="M836">
        <v>1</v>
      </c>
      <c r="N836">
        <v>9</v>
      </c>
      <c r="O836">
        <v>10</v>
      </c>
    </row>
    <row r="837" spans="1:15" x14ac:dyDescent="0.25">
      <c r="A837">
        <v>836</v>
      </c>
      <c r="B837" s="2">
        <v>40581</v>
      </c>
      <c r="C837">
        <v>1</v>
      </c>
      <c r="D837">
        <v>2</v>
      </c>
      <c r="E837">
        <v>6</v>
      </c>
      <c r="F837" t="b">
        <v>0</v>
      </c>
      <c r="G837">
        <v>1</v>
      </c>
      <c r="H837">
        <v>1</v>
      </c>
      <c r="I837">
        <v>0.18</v>
      </c>
      <c r="J837">
        <v>0.2424</v>
      </c>
      <c r="K837">
        <v>0.93</v>
      </c>
      <c r="L837">
        <f t="shared" si="11"/>
        <v>0.58620000000000005</v>
      </c>
      <c r="M837">
        <v>1</v>
      </c>
      <c r="N837">
        <v>29</v>
      </c>
      <c r="O837">
        <v>30</v>
      </c>
    </row>
    <row r="838" spans="1:15" x14ac:dyDescent="0.25">
      <c r="A838">
        <v>837</v>
      </c>
      <c r="B838" s="2">
        <v>40581</v>
      </c>
      <c r="C838">
        <v>1</v>
      </c>
      <c r="D838">
        <v>2</v>
      </c>
      <c r="E838">
        <v>7</v>
      </c>
      <c r="F838" t="b">
        <v>0</v>
      </c>
      <c r="G838">
        <v>1</v>
      </c>
      <c r="H838">
        <v>1</v>
      </c>
      <c r="I838">
        <v>0.18</v>
      </c>
      <c r="J838">
        <v>0.2424</v>
      </c>
      <c r="K838">
        <v>0.86</v>
      </c>
      <c r="L838">
        <f t="shared" si="11"/>
        <v>0.55120000000000002</v>
      </c>
      <c r="M838">
        <v>6</v>
      </c>
      <c r="N838">
        <v>89</v>
      </c>
      <c r="O838">
        <v>95</v>
      </c>
    </row>
    <row r="839" spans="1:15" x14ac:dyDescent="0.25">
      <c r="A839">
        <v>838</v>
      </c>
      <c r="B839" s="2">
        <v>40581</v>
      </c>
      <c r="C839">
        <v>1</v>
      </c>
      <c r="D839">
        <v>2</v>
      </c>
      <c r="E839">
        <v>8</v>
      </c>
      <c r="F839" t="b">
        <v>0</v>
      </c>
      <c r="G839">
        <v>1</v>
      </c>
      <c r="H839">
        <v>2</v>
      </c>
      <c r="I839">
        <v>0.16</v>
      </c>
      <c r="J839">
        <v>0.2273</v>
      </c>
      <c r="K839">
        <v>1</v>
      </c>
      <c r="L839">
        <f t="shared" si="11"/>
        <v>0.61365000000000003</v>
      </c>
      <c r="M839">
        <v>7</v>
      </c>
      <c r="N839">
        <v>223</v>
      </c>
      <c r="O839">
        <v>230</v>
      </c>
    </row>
    <row r="840" spans="1:15" x14ac:dyDescent="0.25">
      <c r="A840">
        <v>839</v>
      </c>
      <c r="B840" s="2">
        <v>40581</v>
      </c>
      <c r="C840">
        <v>1</v>
      </c>
      <c r="D840">
        <v>2</v>
      </c>
      <c r="E840">
        <v>9</v>
      </c>
      <c r="F840" t="b">
        <v>0</v>
      </c>
      <c r="G840">
        <v>1</v>
      </c>
      <c r="H840">
        <v>1</v>
      </c>
      <c r="I840">
        <v>0.22</v>
      </c>
      <c r="J840">
        <v>0.2727</v>
      </c>
      <c r="K840">
        <v>0.8</v>
      </c>
      <c r="L840">
        <f t="shared" si="11"/>
        <v>0.53634999999999999</v>
      </c>
      <c r="M840">
        <v>3</v>
      </c>
      <c r="N840">
        <v>115</v>
      </c>
      <c r="O840">
        <v>118</v>
      </c>
    </row>
    <row r="841" spans="1:15" x14ac:dyDescent="0.25">
      <c r="A841">
        <v>840</v>
      </c>
      <c r="B841" s="2">
        <v>40581</v>
      </c>
      <c r="C841">
        <v>1</v>
      </c>
      <c r="D841">
        <v>2</v>
      </c>
      <c r="E841">
        <v>10</v>
      </c>
      <c r="F841" t="b">
        <v>0</v>
      </c>
      <c r="G841">
        <v>1</v>
      </c>
      <c r="H841">
        <v>1</v>
      </c>
      <c r="I841">
        <v>0.24</v>
      </c>
      <c r="J841">
        <v>0.2576</v>
      </c>
      <c r="K841">
        <v>0.75</v>
      </c>
      <c r="L841">
        <v>0.1045</v>
      </c>
      <c r="M841">
        <v>6</v>
      </c>
      <c r="N841">
        <v>49</v>
      </c>
      <c r="O841">
        <v>55</v>
      </c>
    </row>
    <row r="842" spans="1:15" x14ac:dyDescent="0.25">
      <c r="A842">
        <v>841</v>
      </c>
      <c r="B842" s="2">
        <v>40581</v>
      </c>
      <c r="C842">
        <v>1</v>
      </c>
      <c r="D842">
        <v>2</v>
      </c>
      <c r="E842">
        <v>11</v>
      </c>
      <c r="F842" t="b">
        <v>0</v>
      </c>
      <c r="G842">
        <v>1</v>
      </c>
      <c r="H842">
        <v>1</v>
      </c>
      <c r="I842">
        <v>0.3</v>
      </c>
      <c r="J842">
        <v>0.31819999999999998</v>
      </c>
      <c r="K842">
        <v>0.65</v>
      </c>
      <c r="L842">
        <v>8.9599999999999999E-2</v>
      </c>
      <c r="M842">
        <v>11</v>
      </c>
      <c r="N842">
        <v>36</v>
      </c>
      <c r="O842">
        <v>47</v>
      </c>
    </row>
    <row r="843" spans="1:15" x14ac:dyDescent="0.25">
      <c r="A843">
        <v>842</v>
      </c>
      <c r="B843" s="2">
        <v>40581</v>
      </c>
      <c r="C843">
        <v>1</v>
      </c>
      <c r="D843">
        <v>2</v>
      </c>
      <c r="E843">
        <v>12</v>
      </c>
      <c r="F843" t="b">
        <v>0</v>
      </c>
      <c r="G843">
        <v>1</v>
      </c>
      <c r="H843">
        <v>2</v>
      </c>
      <c r="I843">
        <v>0.32</v>
      </c>
      <c r="J843">
        <v>0.34849999999999998</v>
      </c>
      <c r="K843">
        <v>0.62</v>
      </c>
      <c r="L843">
        <f t="shared" ref="L843" si="12">AVERAGE(J843:K843)</f>
        <v>0.48424999999999996</v>
      </c>
      <c r="M843">
        <v>7</v>
      </c>
      <c r="N843">
        <v>59</v>
      </c>
      <c r="O843">
        <v>66</v>
      </c>
    </row>
    <row r="844" spans="1:15" x14ac:dyDescent="0.25">
      <c r="A844">
        <v>843</v>
      </c>
      <c r="B844" s="2">
        <v>40581</v>
      </c>
      <c r="C844">
        <v>1</v>
      </c>
      <c r="D844">
        <v>2</v>
      </c>
      <c r="E844">
        <v>13</v>
      </c>
      <c r="F844" t="b">
        <v>0</v>
      </c>
      <c r="G844">
        <v>1</v>
      </c>
      <c r="H844">
        <v>2</v>
      </c>
      <c r="I844">
        <v>0.36</v>
      </c>
      <c r="J844">
        <v>0.36359999999999998</v>
      </c>
      <c r="K844">
        <v>0.56999999999999995</v>
      </c>
      <c r="L844">
        <v>8.9599999999999999E-2</v>
      </c>
      <c r="M844">
        <v>10</v>
      </c>
      <c r="N844">
        <v>54</v>
      </c>
      <c r="O844">
        <v>64</v>
      </c>
    </row>
    <row r="845" spans="1:15" x14ac:dyDescent="0.25">
      <c r="A845">
        <v>844</v>
      </c>
      <c r="B845" s="2">
        <v>40581</v>
      </c>
      <c r="C845">
        <v>1</v>
      </c>
      <c r="D845">
        <v>2</v>
      </c>
      <c r="E845">
        <v>14</v>
      </c>
      <c r="F845" t="b">
        <v>0</v>
      </c>
      <c r="G845">
        <v>1</v>
      </c>
      <c r="H845">
        <v>2</v>
      </c>
      <c r="I845">
        <v>0.36</v>
      </c>
      <c r="J845">
        <v>0.36359999999999998</v>
      </c>
      <c r="K845">
        <v>0.56999999999999995</v>
      </c>
      <c r="L845">
        <v>8.9599999999999999E-2</v>
      </c>
      <c r="M845">
        <v>8</v>
      </c>
      <c r="N845">
        <v>52</v>
      </c>
      <c r="O845">
        <v>60</v>
      </c>
    </row>
    <row r="846" spans="1:15" x14ac:dyDescent="0.25">
      <c r="A846">
        <v>845</v>
      </c>
      <c r="B846" s="2">
        <v>40581</v>
      </c>
      <c r="C846">
        <v>1</v>
      </c>
      <c r="D846">
        <v>2</v>
      </c>
      <c r="E846">
        <v>15</v>
      </c>
      <c r="F846" t="b">
        <v>0</v>
      </c>
      <c r="G846">
        <v>1</v>
      </c>
      <c r="H846">
        <v>2</v>
      </c>
      <c r="I846">
        <v>0.38</v>
      </c>
      <c r="J846">
        <v>0.39389999999999997</v>
      </c>
      <c r="K846">
        <v>0.54</v>
      </c>
      <c r="L846">
        <v>8.9599999999999999E-2</v>
      </c>
      <c r="M846">
        <v>4</v>
      </c>
      <c r="N846">
        <v>46</v>
      </c>
      <c r="O846">
        <v>50</v>
      </c>
    </row>
    <row r="847" spans="1:15" x14ac:dyDescent="0.25">
      <c r="A847">
        <v>846</v>
      </c>
      <c r="B847" s="2">
        <v>40581</v>
      </c>
      <c r="C847">
        <v>1</v>
      </c>
      <c r="D847">
        <v>2</v>
      </c>
      <c r="E847">
        <v>16</v>
      </c>
      <c r="F847" t="b">
        <v>0</v>
      </c>
      <c r="G847">
        <v>1</v>
      </c>
      <c r="H847">
        <v>2</v>
      </c>
      <c r="I847">
        <v>0.36</v>
      </c>
      <c r="J847">
        <v>0.34849999999999998</v>
      </c>
      <c r="K847">
        <v>0.56999999999999995</v>
      </c>
      <c r="L847">
        <v>0.1343</v>
      </c>
      <c r="M847">
        <v>16</v>
      </c>
      <c r="N847">
        <v>98</v>
      </c>
      <c r="O847">
        <v>114</v>
      </c>
    </row>
    <row r="848" spans="1:15" x14ac:dyDescent="0.25">
      <c r="A848">
        <v>847</v>
      </c>
      <c r="B848" s="2">
        <v>40581</v>
      </c>
      <c r="C848">
        <v>1</v>
      </c>
      <c r="D848">
        <v>2</v>
      </c>
      <c r="E848">
        <v>17</v>
      </c>
      <c r="F848" t="b">
        <v>0</v>
      </c>
      <c r="G848">
        <v>1</v>
      </c>
      <c r="H848">
        <v>2</v>
      </c>
      <c r="I848">
        <v>0.32</v>
      </c>
      <c r="J848">
        <v>0.31819999999999998</v>
      </c>
      <c r="K848">
        <v>0.7</v>
      </c>
      <c r="L848">
        <v>0.16420000000000001</v>
      </c>
      <c r="M848">
        <v>9</v>
      </c>
      <c r="N848">
        <v>207</v>
      </c>
      <c r="O848">
        <v>216</v>
      </c>
    </row>
    <row r="849" spans="1:15" x14ac:dyDescent="0.25">
      <c r="A849">
        <v>848</v>
      </c>
      <c r="B849" s="2">
        <v>40581</v>
      </c>
      <c r="C849">
        <v>1</v>
      </c>
      <c r="D849">
        <v>2</v>
      </c>
      <c r="E849">
        <v>18</v>
      </c>
      <c r="F849" t="b">
        <v>0</v>
      </c>
      <c r="G849">
        <v>1</v>
      </c>
      <c r="H849">
        <v>2</v>
      </c>
      <c r="I849">
        <v>0.34</v>
      </c>
      <c r="J849">
        <v>0.33329999999999999</v>
      </c>
      <c r="K849">
        <v>0.66</v>
      </c>
      <c r="L849">
        <v>0.1343</v>
      </c>
      <c r="M849">
        <v>5</v>
      </c>
      <c r="N849">
        <v>170</v>
      </c>
      <c r="O849">
        <v>175</v>
      </c>
    </row>
    <row r="850" spans="1:15" x14ac:dyDescent="0.25">
      <c r="A850">
        <v>849</v>
      </c>
      <c r="B850" s="2">
        <v>40581</v>
      </c>
      <c r="C850">
        <v>1</v>
      </c>
      <c r="D850">
        <v>2</v>
      </c>
      <c r="E850">
        <v>19</v>
      </c>
      <c r="F850" t="b">
        <v>0</v>
      </c>
      <c r="G850">
        <v>1</v>
      </c>
      <c r="H850">
        <v>2</v>
      </c>
      <c r="I850">
        <v>0.32</v>
      </c>
      <c r="J850">
        <v>0.34849999999999998</v>
      </c>
      <c r="K850">
        <v>0.7</v>
      </c>
      <c r="L850">
        <f t="shared" ref="L850" si="13">AVERAGE(J850:K850)</f>
        <v>0.52424999999999999</v>
      </c>
      <c r="M850">
        <v>5</v>
      </c>
      <c r="N850">
        <v>123</v>
      </c>
      <c r="O850">
        <v>128</v>
      </c>
    </row>
    <row r="851" spans="1:15" x14ac:dyDescent="0.25">
      <c r="A851">
        <v>850</v>
      </c>
      <c r="B851" s="2">
        <v>40581</v>
      </c>
      <c r="C851">
        <v>1</v>
      </c>
      <c r="D851">
        <v>2</v>
      </c>
      <c r="E851">
        <v>20</v>
      </c>
      <c r="F851" t="b">
        <v>0</v>
      </c>
      <c r="G851">
        <v>1</v>
      </c>
      <c r="H851">
        <v>2</v>
      </c>
      <c r="I851">
        <v>0.32</v>
      </c>
      <c r="J851">
        <v>0.33329999999999999</v>
      </c>
      <c r="K851">
        <v>0.7</v>
      </c>
      <c r="L851">
        <v>0.1045</v>
      </c>
      <c r="M851">
        <v>6</v>
      </c>
      <c r="N851">
        <v>82</v>
      </c>
      <c r="O851">
        <v>88</v>
      </c>
    </row>
    <row r="852" spans="1:15" x14ac:dyDescent="0.25">
      <c r="A852">
        <v>851</v>
      </c>
      <c r="B852" s="2">
        <v>40581</v>
      </c>
      <c r="C852">
        <v>1</v>
      </c>
      <c r="D852">
        <v>2</v>
      </c>
      <c r="E852">
        <v>21</v>
      </c>
      <c r="F852" t="b">
        <v>0</v>
      </c>
      <c r="G852">
        <v>1</v>
      </c>
      <c r="H852">
        <v>1</v>
      </c>
      <c r="I852">
        <v>0.32</v>
      </c>
      <c r="J852">
        <v>0.34849999999999998</v>
      </c>
      <c r="K852">
        <v>0.7</v>
      </c>
      <c r="L852">
        <f t="shared" ref="L852" si="14">AVERAGE(J852:K852)</f>
        <v>0.52424999999999999</v>
      </c>
      <c r="M852">
        <v>3</v>
      </c>
      <c r="N852">
        <v>75</v>
      </c>
      <c r="O852">
        <v>78</v>
      </c>
    </row>
    <row r="853" spans="1:15" x14ac:dyDescent="0.25">
      <c r="A853">
        <v>852</v>
      </c>
      <c r="B853" s="2">
        <v>40581</v>
      </c>
      <c r="C853">
        <v>1</v>
      </c>
      <c r="D853">
        <v>2</v>
      </c>
      <c r="E853">
        <v>22</v>
      </c>
      <c r="F853" t="b">
        <v>0</v>
      </c>
      <c r="G853">
        <v>1</v>
      </c>
      <c r="H853">
        <v>1</v>
      </c>
      <c r="I853">
        <v>0.28000000000000003</v>
      </c>
      <c r="J853">
        <v>0.30299999999999999</v>
      </c>
      <c r="K853">
        <v>0.81</v>
      </c>
      <c r="L853">
        <v>8.9599999999999999E-2</v>
      </c>
      <c r="M853">
        <v>3</v>
      </c>
      <c r="N853">
        <v>34</v>
      </c>
      <c r="O853">
        <v>37</v>
      </c>
    </row>
    <row r="854" spans="1:15" x14ac:dyDescent="0.25">
      <c r="A854">
        <v>853</v>
      </c>
      <c r="B854" s="2">
        <v>40581</v>
      </c>
      <c r="C854">
        <v>1</v>
      </c>
      <c r="D854">
        <v>2</v>
      </c>
      <c r="E854">
        <v>23</v>
      </c>
      <c r="F854" t="b">
        <v>0</v>
      </c>
      <c r="G854">
        <v>1</v>
      </c>
      <c r="H854">
        <v>2</v>
      </c>
      <c r="I854">
        <v>0.3</v>
      </c>
      <c r="J854">
        <v>0.33329999999999999</v>
      </c>
      <c r="K854">
        <v>0.81</v>
      </c>
      <c r="L854">
        <f t="shared" ref="L854:L856" si="15">AVERAGE(J854:K854)</f>
        <v>0.57164999999999999</v>
      </c>
      <c r="M854">
        <v>6</v>
      </c>
      <c r="N854">
        <v>19</v>
      </c>
      <c r="O854">
        <v>25</v>
      </c>
    </row>
    <row r="855" spans="1:15" x14ac:dyDescent="0.25">
      <c r="A855">
        <v>854</v>
      </c>
      <c r="B855" s="2">
        <v>40582</v>
      </c>
      <c r="C855">
        <v>1</v>
      </c>
      <c r="D855">
        <v>2</v>
      </c>
      <c r="E855">
        <v>0</v>
      </c>
      <c r="F855" t="b">
        <v>0</v>
      </c>
      <c r="G855">
        <v>2</v>
      </c>
      <c r="H855">
        <v>2</v>
      </c>
      <c r="I855">
        <v>0.28000000000000003</v>
      </c>
      <c r="J855">
        <v>0.31819999999999998</v>
      </c>
      <c r="K855">
        <v>0.87</v>
      </c>
      <c r="L855">
        <f t="shared" si="15"/>
        <v>0.59409999999999996</v>
      </c>
      <c r="M855">
        <v>4</v>
      </c>
      <c r="N855">
        <v>6</v>
      </c>
      <c r="O855">
        <v>10</v>
      </c>
    </row>
    <row r="856" spans="1:15" x14ac:dyDescent="0.25">
      <c r="A856">
        <v>855</v>
      </c>
      <c r="B856" s="2">
        <v>40582</v>
      </c>
      <c r="C856">
        <v>1</v>
      </c>
      <c r="D856">
        <v>2</v>
      </c>
      <c r="E856">
        <v>1</v>
      </c>
      <c r="F856" t="b">
        <v>0</v>
      </c>
      <c r="G856">
        <v>2</v>
      </c>
      <c r="H856">
        <v>2</v>
      </c>
      <c r="I856">
        <v>0.28000000000000003</v>
      </c>
      <c r="J856">
        <v>0.31819999999999998</v>
      </c>
      <c r="K856">
        <v>0.87</v>
      </c>
      <c r="L856">
        <f t="shared" si="15"/>
        <v>0.59409999999999996</v>
      </c>
      <c r="M856">
        <v>0</v>
      </c>
      <c r="N856">
        <v>4</v>
      </c>
      <c r="O856">
        <v>4</v>
      </c>
    </row>
    <row r="857" spans="1:15" x14ac:dyDescent="0.25">
      <c r="A857">
        <v>856</v>
      </c>
      <c r="B857" s="2">
        <v>40582</v>
      </c>
      <c r="C857">
        <v>1</v>
      </c>
      <c r="D857">
        <v>2</v>
      </c>
      <c r="E857">
        <v>2</v>
      </c>
      <c r="F857" t="b">
        <v>0</v>
      </c>
      <c r="G857">
        <v>2</v>
      </c>
      <c r="H857">
        <v>2</v>
      </c>
      <c r="I857">
        <v>0.26</v>
      </c>
      <c r="J857">
        <v>0.2727</v>
      </c>
      <c r="K857">
        <v>0.93</v>
      </c>
      <c r="L857">
        <v>0.1045</v>
      </c>
      <c r="M857">
        <v>1</v>
      </c>
      <c r="N857">
        <v>1</v>
      </c>
      <c r="O857">
        <v>2</v>
      </c>
    </row>
    <row r="858" spans="1:15" x14ac:dyDescent="0.25">
      <c r="A858">
        <v>857</v>
      </c>
      <c r="B858" s="2">
        <v>40582</v>
      </c>
      <c r="C858">
        <v>1</v>
      </c>
      <c r="D858">
        <v>2</v>
      </c>
      <c r="E858">
        <v>3</v>
      </c>
      <c r="F858" t="b">
        <v>0</v>
      </c>
      <c r="G858">
        <v>2</v>
      </c>
      <c r="H858">
        <v>3</v>
      </c>
      <c r="I858">
        <v>0.28000000000000003</v>
      </c>
      <c r="J858">
        <v>0.2727</v>
      </c>
      <c r="K858">
        <v>0.93</v>
      </c>
      <c r="L858">
        <v>0.16420000000000001</v>
      </c>
      <c r="M858">
        <v>0</v>
      </c>
      <c r="N858">
        <v>1</v>
      </c>
      <c r="O858">
        <v>1</v>
      </c>
    </row>
    <row r="859" spans="1:15" x14ac:dyDescent="0.25">
      <c r="A859">
        <v>858</v>
      </c>
      <c r="B859" s="2">
        <v>40582</v>
      </c>
      <c r="C859">
        <v>1</v>
      </c>
      <c r="D859">
        <v>2</v>
      </c>
      <c r="E859">
        <v>4</v>
      </c>
      <c r="F859" t="b">
        <v>0</v>
      </c>
      <c r="G859">
        <v>2</v>
      </c>
      <c r="H859">
        <v>1</v>
      </c>
      <c r="I859">
        <v>0.26</v>
      </c>
      <c r="J859">
        <v>0.2576</v>
      </c>
      <c r="K859">
        <v>0.93</v>
      </c>
      <c r="L859">
        <v>0.16420000000000001</v>
      </c>
      <c r="M859">
        <v>0</v>
      </c>
      <c r="N859">
        <v>3</v>
      </c>
      <c r="O859">
        <v>3</v>
      </c>
    </row>
    <row r="860" spans="1:15" x14ac:dyDescent="0.25">
      <c r="A860">
        <v>859</v>
      </c>
      <c r="B860" s="2">
        <v>40582</v>
      </c>
      <c r="C860">
        <v>1</v>
      </c>
      <c r="D860">
        <v>2</v>
      </c>
      <c r="E860">
        <v>5</v>
      </c>
      <c r="F860" t="b">
        <v>0</v>
      </c>
      <c r="G860">
        <v>2</v>
      </c>
      <c r="H860">
        <v>1</v>
      </c>
      <c r="I860">
        <v>0.26</v>
      </c>
      <c r="J860">
        <v>0.2273</v>
      </c>
      <c r="K860">
        <v>0.81</v>
      </c>
      <c r="L860">
        <v>0.32840000000000003</v>
      </c>
      <c r="M860">
        <v>0</v>
      </c>
      <c r="N860">
        <v>2</v>
      </c>
      <c r="O860">
        <v>2</v>
      </c>
    </row>
    <row r="861" spans="1:15" x14ac:dyDescent="0.25">
      <c r="A861">
        <v>860</v>
      </c>
      <c r="B861" s="2">
        <v>40582</v>
      </c>
      <c r="C861">
        <v>1</v>
      </c>
      <c r="D861">
        <v>2</v>
      </c>
      <c r="E861">
        <v>6</v>
      </c>
      <c r="F861" t="b">
        <v>0</v>
      </c>
      <c r="G861">
        <v>2</v>
      </c>
      <c r="H861">
        <v>1</v>
      </c>
      <c r="I861">
        <v>0.26</v>
      </c>
      <c r="J861">
        <v>0.2273</v>
      </c>
      <c r="K861">
        <v>0.7</v>
      </c>
      <c r="L861">
        <v>0.32840000000000003</v>
      </c>
      <c r="M861">
        <v>0</v>
      </c>
      <c r="N861">
        <v>39</v>
      </c>
      <c r="O861">
        <v>39</v>
      </c>
    </row>
    <row r="862" spans="1:15" x14ac:dyDescent="0.25">
      <c r="A862">
        <v>861</v>
      </c>
      <c r="B862" s="2">
        <v>40582</v>
      </c>
      <c r="C862">
        <v>1</v>
      </c>
      <c r="D862">
        <v>2</v>
      </c>
      <c r="E862">
        <v>7</v>
      </c>
      <c r="F862" t="b">
        <v>0</v>
      </c>
      <c r="G862">
        <v>2</v>
      </c>
      <c r="H862">
        <v>1</v>
      </c>
      <c r="I862">
        <v>0.24</v>
      </c>
      <c r="J862">
        <v>0.19700000000000001</v>
      </c>
      <c r="K862">
        <v>0.65</v>
      </c>
      <c r="L862">
        <v>0.41789999999999999</v>
      </c>
      <c r="M862">
        <v>3</v>
      </c>
      <c r="N862">
        <v>97</v>
      </c>
      <c r="O862">
        <v>100</v>
      </c>
    </row>
    <row r="863" spans="1:15" x14ac:dyDescent="0.25">
      <c r="A863">
        <v>862</v>
      </c>
      <c r="B863" s="2">
        <v>40582</v>
      </c>
      <c r="C863">
        <v>1</v>
      </c>
      <c r="D863">
        <v>2</v>
      </c>
      <c r="E863">
        <v>8</v>
      </c>
      <c r="F863" t="b">
        <v>0</v>
      </c>
      <c r="G863">
        <v>2</v>
      </c>
      <c r="H863">
        <v>1</v>
      </c>
      <c r="I863">
        <v>0.24</v>
      </c>
      <c r="J863">
        <v>0.19700000000000001</v>
      </c>
      <c r="K863">
        <v>0.56000000000000005</v>
      </c>
      <c r="L863">
        <v>0.49249999999999999</v>
      </c>
      <c r="M863">
        <v>7</v>
      </c>
      <c r="N863">
        <v>236</v>
      </c>
      <c r="O863">
        <v>243</v>
      </c>
    </row>
    <row r="864" spans="1:15" x14ac:dyDescent="0.25">
      <c r="A864">
        <v>863</v>
      </c>
      <c r="B864" s="2">
        <v>40582</v>
      </c>
      <c r="C864">
        <v>1</v>
      </c>
      <c r="D864">
        <v>2</v>
      </c>
      <c r="E864">
        <v>9</v>
      </c>
      <c r="F864" t="b">
        <v>0</v>
      </c>
      <c r="G864">
        <v>2</v>
      </c>
      <c r="H864">
        <v>1</v>
      </c>
      <c r="I864">
        <v>0.24</v>
      </c>
      <c r="J864">
        <v>0.19700000000000001</v>
      </c>
      <c r="K864">
        <v>0.52</v>
      </c>
      <c r="L864">
        <v>0.49249999999999999</v>
      </c>
      <c r="M864">
        <v>7</v>
      </c>
      <c r="N864">
        <v>128</v>
      </c>
      <c r="O864">
        <v>135</v>
      </c>
    </row>
    <row r="865" spans="1:15" x14ac:dyDescent="0.25">
      <c r="A865">
        <v>864</v>
      </c>
      <c r="B865" s="2">
        <v>40582</v>
      </c>
      <c r="C865">
        <v>1</v>
      </c>
      <c r="D865">
        <v>2</v>
      </c>
      <c r="E865">
        <v>10</v>
      </c>
      <c r="F865" t="b">
        <v>0</v>
      </c>
      <c r="G865">
        <v>2</v>
      </c>
      <c r="H865">
        <v>1</v>
      </c>
      <c r="I865">
        <v>0.22</v>
      </c>
      <c r="J865">
        <v>0.18179999999999999</v>
      </c>
      <c r="K865">
        <v>0.47</v>
      </c>
      <c r="L865">
        <v>0.55220000000000002</v>
      </c>
      <c r="M865">
        <v>4</v>
      </c>
      <c r="N865">
        <v>44</v>
      </c>
      <c r="O865">
        <v>48</v>
      </c>
    </row>
    <row r="866" spans="1:15" x14ac:dyDescent="0.25">
      <c r="A866">
        <v>865</v>
      </c>
      <c r="B866" s="2">
        <v>40582</v>
      </c>
      <c r="C866">
        <v>1</v>
      </c>
      <c r="D866">
        <v>2</v>
      </c>
      <c r="E866">
        <v>11</v>
      </c>
      <c r="F866" t="b">
        <v>0</v>
      </c>
      <c r="G866">
        <v>2</v>
      </c>
      <c r="H866">
        <v>1</v>
      </c>
      <c r="I866">
        <v>0.22</v>
      </c>
      <c r="J866">
        <v>0.18179999999999999</v>
      </c>
      <c r="K866">
        <v>0.47</v>
      </c>
      <c r="L866">
        <v>0.4627</v>
      </c>
      <c r="M866">
        <v>1</v>
      </c>
      <c r="N866">
        <v>49</v>
      </c>
      <c r="O866">
        <v>50</v>
      </c>
    </row>
    <row r="867" spans="1:15" x14ac:dyDescent="0.25">
      <c r="A867">
        <v>866</v>
      </c>
      <c r="B867" s="2">
        <v>40582</v>
      </c>
      <c r="C867">
        <v>1</v>
      </c>
      <c r="D867">
        <v>2</v>
      </c>
      <c r="E867">
        <v>12</v>
      </c>
      <c r="F867" t="b">
        <v>0</v>
      </c>
      <c r="G867">
        <v>2</v>
      </c>
      <c r="H867">
        <v>1</v>
      </c>
      <c r="I867">
        <v>0.24</v>
      </c>
      <c r="J867">
        <v>0.19700000000000001</v>
      </c>
      <c r="K867">
        <v>0.38</v>
      </c>
      <c r="L867">
        <v>0.49249999999999999</v>
      </c>
      <c r="M867">
        <v>2</v>
      </c>
      <c r="N867">
        <v>63</v>
      </c>
      <c r="O867">
        <v>65</v>
      </c>
    </row>
    <row r="868" spans="1:15" x14ac:dyDescent="0.25">
      <c r="A868">
        <v>867</v>
      </c>
      <c r="B868" s="2">
        <v>40582</v>
      </c>
      <c r="C868">
        <v>1</v>
      </c>
      <c r="D868">
        <v>2</v>
      </c>
      <c r="E868">
        <v>13</v>
      </c>
      <c r="F868" t="b">
        <v>0</v>
      </c>
      <c r="G868">
        <v>2</v>
      </c>
      <c r="H868">
        <v>2</v>
      </c>
      <c r="I868">
        <v>0.24</v>
      </c>
      <c r="J868">
        <v>0.19700000000000001</v>
      </c>
      <c r="K868">
        <v>0.32</v>
      </c>
      <c r="L868">
        <v>0.44779999999999998</v>
      </c>
      <c r="M868">
        <v>2</v>
      </c>
      <c r="N868">
        <v>48</v>
      </c>
      <c r="O868">
        <v>50</v>
      </c>
    </row>
    <row r="869" spans="1:15" x14ac:dyDescent="0.25">
      <c r="A869">
        <v>868</v>
      </c>
      <c r="B869" s="2">
        <v>40582</v>
      </c>
      <c r="C869">
        <v>1</v>
      </c>
      <c r="D869">
        <v>2</v>
      </c>
      <c r="E869">
        <v>14</v>
      </c>
      <c r="F869" t="b">
        <v>0</v>
      </c>
      <c r="G869">
        <v>2</v>
      </c>
      <c r="H869">
        <v>1</v>
      </c>
      <c r="I869">
        <v>0.22</v>
      </c>
      <c r="J869">
        <v>0.19700000000000001</v>
      </c>
      <c r="K869">
        <v>0.37</v>
      </c>
      <c r="L869">
        <v>0.41789999999999999</v>
      </c>
      <c r="M869">
        <v>3</v>
      </c>
      <c r="N869">
        <v>61</v>
      </c>
      <c r="O869">
        <v>64</v>
      </c>
    </row>
    <row r="870" spans="1:15" x14ac:dyDescent="0.25">
      <c r="A870">
        <v>869</v>
      </c>
      <c r="B870" s="2">
        <v>40582</v>
      </c>
      <c r="C870">
        <v>1</v>
      </c>
      <c r="D870">
        <v>2</v>
      </c>
      <c r="E870">
        <v>15</v>
      </c>
      <c r="F870" t="b">
        <v>0</v>
      </c>
      <c r="G870">
        <v>2</v>
      </c>
      <c r="H870">
        <v>1</v>
      </c>
      <c r="I870">
        <v>0.22</v>
      </c>
      <c r="J870">
        <v>0.19700000000000001</v>
      </c>
      <c r="K870">
        <v>0.35</v>
      </c>
      <c r="L870">
        <v>0.3881</v>
      </c>
      <c r="M870">
        <v>6</v>
      </c>
      <c r="N870">
        <v>45</v>
      </c>
      <c r="O870">
        <v>51</v>
      </c>
    </row>
    <row r="871" spans="1:15" x14ac:dyDescent="0.25">
      <c r="A871">
        <v>870</v>
      </c>
      <c r="B871" s="2">
        <v>40582</v>
      </c>
      <c r="C871">
        <v>1</v>
      </c>
      <c r="D871">
        <v>2</v>
      </c>
      <c r="E871">
        <v>16</v>
      </c>
      <c r="F871" t="b">
        <v>0</v>
      </c>
      <c r="G871">
        <v>2</v>
      </c>
      <c r="H871">
        <v>1</v>
      </c>
      <c r="I871">
        <v>0.22</v>
      </c>
      <c r="J871">
        <v>0.18179999999999999</v>
      </c>
      <c r="K871">
        <v>0.35</v>
      </c>
      <c r="L871">
        <v>0.52239999999999998</v>
      </c>
      <c r="M871">
        <v>4</v>
      </c>
      <c r="N871">
        <v>79</v>
      </c>
      <c r="O871">
        <v>83</v>
      </c>
    </row>
    <row r="872" spans="1:15" x14ac:dyDescent="0.25">
      <c r="A872">
        <v>871</v>
      </c>
      <c r="B872" s="2">
        <v>40582</v>
      </c>
      <c r="C872">
        <v>1</v>
      </c>
      <c r="D872">
        <v>2</v>
      </c>
      <c r="E872">
        <v>17</v>
      </c>
      <c r="F872" t="b">
        <v>0</v>
      </c>
      <c r="G872">
        <v>2</v>
      </c>
      <c r="H872">
        <v>1</v>
      </c>
      <c r="I872">
        <v>0.22</v>
      </c>
      <c r="J872">
        <v>0.18179999999999999</v>
      </c>
      <c r="K872">
        <v>0.32</v>
      </c>
      <c r="L872">
        <v>0.58209999999999995</v>
      </c>
      <c r="M872">
        <v>4</v>
      </c>
      <c r="N872">
        <v>172</v>
      </c>
      <c r="O872">
        <v>176</v>
      </c>
    </row>
    <row r="873" spans="1:15" x14ac:dyDescent="0.25">
      <c r="A873">
        <v>872</v>
      </c>
      <c r="B873" s="2">
        <v>40582</v>
      </c>
      <c r="C873">
        <v>1</v>
      </c>
      <c r="D873">
        <v>2</v>
      </c>
      <c r="E873">
        <v>18</v>
      </c>
      <c r="F873" t="b">
        <v>0</v>
      </c>
      <c r="G873">
        <v>2</v>
      </c>
      <c r="H873">
        <v>1</v>
      </c>
      <c r="I873">
        <v>0.2</v>
      </c>
      <c r="J873">
        <v>0.18179999999999999</v>
      </c>
      <c r="K873">
        <v>0.32</v>
      </c>
      <c r="L873">
        <v>0.3881</v>
      </c>
      <c r="M873">
        <v>1</v>
      </c>
      <c r="N873">
        <v>151</v>
      </c>
      <c r="O873">
        <v>152</v>
      </c>
    </row>
    <row r="874" spans="1:15" x14ac:dyDescent="0.25">
      <c r="A874">
        <v>873</v>
      </c>
      <c r="B874" s="2">
        <v>40582</v>
      </c>
      <c r="C874">
        <v>1</v>
      </c>
      <c r="D874">
        <v>2</v>
      </c>
      <c r="E874">
        <v>19</v>
      </c>
      <c r="F874" t="b">
        <v>0</v>
      </c>
      <c r="G874">
        <v>2</v>
      </c>
      <c r="H874">
        <v>1</v>
      </c>
      <c r="I874">
        <v>0.16</v>
      </c>
      <c r="J874">
        <v>0.1212</v>
      </c>
      <c r="K874">
        <v>0.4</v>
      </c>
      <c r="L874">
        <v>0.4627</v>
      </c>
      <c r="M874">
        <v>1</v>
      </c>
      <c r="N874">
        <v>100</v>
      </c>
      <c r="O874">
        <v>101</v>
      </c>
    </row>
    <row r="875" spans="1:15" x14ac:dyDescent="0.25">
      <c r="A875">
        <v>874</v>
      </c>
      <c r="B875" s="2">
        <v>40582</v>
      </c>
      <c r="C875">
        <v>1</v>
      </c>
      <c r="D875">
        <v>2</v>
      </c>
      <c r="E875">
        <v>20</v>
      </c>
      <c r="F875" t="b">
        <v>0</v>
      </c>
      <c r="G875">
        <v>2</v>
      </c>
      <c r="H875">
        <v>1</v>
      </c>
      <c r="I875">
        <v>0.16</v>
      </c>
      <c r="J875">
        <v>0.13639999999999999</v>
      </c>
      <c r="K875">
        <v>0.4</v>
      </c>
      <c r="L875">
        <v>0.32840000000000003</v>
      </c>
      <c r="M875">
        <v>3</v>
      </c>
      <c r="N875">
        <v>53</v>
      </c>
      <c r="O875">
        <v>56</v>
      </c>
    </row>
    <row r="876" spans="1:15" x14ac:dyDescent="0.25">
      <c r="A876">
        <v>875</v>
      </c>
      <c r="B876" s="2">
        <v>40582</v>
      </c>
      <c r="C876">
        <v>1</v>
      </c>
      <c r="D876">
        <v>2</v>
      </c>
      <c r="E876">
        <v>21</v>
      </c>
      <c r="F876" t="b">
        <v>0</v>
      </c>
      <c r="G876">
        <v>2</v>
      </c>
      <c r="H876">
        <v>1</v>
      </c>
      <c r="I876">
        <v>0.14000000000000001</v>
      </c>
      <c r="J876">
        <v>0.1061</v>
      </c>
      <c r="K876">
        <v>0.33</v>
      </c>
      <c r="L876">
        <v>0.4627</v>
      </c>
      <c r="M876">
        <v>8</v>
      </c>
      <c r="N876">
        <v>46</v>
      </c>
      <c r="O876">
        <v>54</v>
      </c>
    </row>
    <row r="877" spans="1:15" x14ac:dyDescent="0.25">
      <c r="A877">
        <v>876</v>
      </c>
      <c r="B877" s="2">
        <v>40582</v>
      </c>
      <c r="C877">
        <v>1</v>
      </c>
      <c r="D877">
        <v>2</v>
      </c>
      <c r="E877">
        <v>22</v>
      </c>
      <c r="F877" t="b">
        <v>0</v>
      </c>
      <c r="G877">
        <v>2</v>
      </c>
      <c r="H877">
        <v>1</v>
      </c>
      <c r="I877">
        <v>0.12</v>
      </c>
      <c r="J877">
        <v>0.1061</v>
      </c>
      <c r="K877">
        <v>0.33</v>
      </c>
      <c r="L877">
        <v>0.35820000000000002</v>
      </c>
      <c r="M877">
        <v>0</v>
      </c>
      <c r="N877">
        <v>29</v>
      </c>
      <c r="O877">
        <v>29</v>
      </c>
    </row>
    <row r="878" spans="1:15" x14ac:dyDescent="0.25">
      <c r="A878">
        <v>877</v>
      </c>
      <c r="B878" s="2">
        <v>40582</v>
      </c>
      <c r="C878">
        <v>1</v>
      </c>
      <c r="D878">
        <v>2</v>
      </c>
      <c r="E878">
        <v>23</v>
      </c>
      <c r="F878" t="b">
        <v>0</v>
      </c>
      <c r="G878">
        <v>2</v>
      </c>
      <c r="H878">
        <v>1</v>
      </c>
      <c r="I878">
        <v>0.12</v>
      </c>
      <c r="J878">
        <v>0.1061</v>
      </c>
      <c r="K878">
        <v>0.33</v>
      </c>
      <c r="L878">
        <v>0.32840000000000003</v>
      </c>
      <c r="M878">
        <v>3</v>
      </c>
      <c r="N878">
        <v>9</v>
      </c>
      <c r="O878">
        <v>12</v>
      </c>
    </row>
    <row r="879" spans="1:15" x14ac:dyDescent="0.25">
      <c r="A879">
        <v>878</v>
      </c>
      <c r="B879" s="2">
        <v>40583</v>
      </c>
      <c r="C879">
        <v>1</v>
      </c>
      <c r="D879">
        <v>2</v>
      </c>
      <c r="E879">
        <v>0</v>
      </c>
      <c r="F879" t="b">
        <v>0</v>
      </c>
      <c r="G879">
        <v>3</v>
      </c>
      <c r="H879">
        <v>1</v>
      </c>
      <c r="I879">
        <v>0.1</v>
      </c>
      <c r="J879">
        <v>7.5800000000000006E-2</v>
      </c>
      <c r="K879">
        <v>0.36</v>
      </c>
      <c r="L879">
        <v>0.35820000000000002</v>
      </c>
      <c r="M879">
        <v>0</v>
      </c>
      <c r="N879">
        <v>17</v>
      </c>
      <c r="O879">
        <v>17</v>
      </c>
    </row>
    <row r="880" spans="1:15" x14ac:dyDescent="0.25">
      <c r="A880">
        <v>879</v>
      </c>
      <c r="B880" s="2">
        <v>40583</v>
      </c>
      <c r="C880">
        <v>1</v>
      </c>
      <c r="D880">
        <v>2</v>
      </c>
      <c r="E880">
        <v>1</v>
      </c>
      <c r="F880" t="b">
        <v>0</v>
      </c>
      <c r="G880">
        <v>3</v>
      </c>
      <c r="H880">
        <v>1</v>
      </c>
      <c r="I880">
        <v>0.1</v>
      </c>
      <c r="J880">
        <v>0.1061</v>
      </c>
      <c r="K880">
        <v>0.36</v>
      </c>
      <c r="L880">
        <v>0.22389999999999999</v>
      </c>
      <c r="M880">
        <v>0</v>
      </c>
      <c r="N880">
        <v>7</v>
      </c>
      <c r="O880">
        <v>7</v>
      </c>
    </row>
    <row r="881" spans="1:15" x14ac:dyDescent="0.25">
      <c r="A881">
        <v>880</v>
      </c>
      <c r="B881" s="2">
        <v>40583</v>
      </c>
      <c r="C881">
        <v>1</v>
      </c>
      <c r="D881">
        <v>2</v>
      </c>
      <c r="E881">
        <v>2</v>
      </c>
      <c r="F881" t="b">
        <v>0</v>
      </c>
      <c r="G881">
        <v>3</v>
      </c>
      <c r="H881">
        <v>1</v>
      </c>
      <c r="I881">
        <v>0.08</v>
      </c>
      <c r="J881">
        <v>7.5800000000000006E-2</v>
      </c>
      <c r="K881">
        <v>0.38</v>
      </c>
      <c r="L881">
        <v>0.28360000000000002</v>
      </c>
      <c r="M881">
        <v>1</v>
      </c>
      <c r="N881">
        <v>2</v>
      </c>
      <c r="O881">
        <v>3</v>
      </c>
    </row>
    <row r="882" spans="1:15" x14ac:dyDescent="0.25">
      <c r="A882">
        <v>881</v>
      </c>
      <c r="B882" s="2">
        <v>40583</v>
      </c>
      <c r="C882">
        <v>1</v>
      </c>
      <c r="D882">
        <v>2</v>
      </c>
      <c r="E882">
        <v>3</v>
      </c>
      <c r="F882" t="b">
        <v>0</v>
      </c>
      <c r="G882">
        <v>3</v>
      </c>
      <c r="H882">
        <v>1</v>
      </c>
      <c r="I882">
        <v>0.06</v>
      </c>
      <c r="J882">
        <v>7.5800000000000006E-2</v>
      </c>
      <c r="K882">
        <v>0.45</v>
      </c>
      <c r="L882">
        <v>0.1343</v>
      </c>
      <c r="M882">
        <v>0</v>
      </c>
      <c r="N882">
        <v>2</v>
      </c>
      <c r="O882">
        <v>2</v>
      </c>
    </row>
    <row r="883" spans="1:15" x14ac:dyDescent="0.25">
      <c r="A883">
        <v>882</v>
      </c>
      <c r="B883" s="2">
        <v>40583</v>
      </c>
      <c r="C883">
        <v>1</v>
      </c>
      <c r="D883">
        <v>2</v>
      </c>
      <c r="E883">
        <v>5</v>
      </c>
      <c r="F883" t="b">
        <v>0</v>
      </c>
      <c r="G883">
        <v>3</v>
      </c>
      <c r="H883">
        <v>1</v>
      </c>
      <c r="I883">
        <v>0.06</v>
      </c>
      <c r="J883">
        <v>0.1061</v>
      </c>
      <c r="K883">
        <v>0.45</v>
      </c>
      <c r="L883">
        <v>0.1045</v>
      </c>
      <c r="M883">
        <v>0</v>
      </c>
      <c r="N883">
        <v>7</v>
      </c>
      <c r="O883">
        <v>7</v>
      </c>
    </row>
    <row r="884" spans="1:15" x14ac:dyDescent="0.25">
      <c r="A884">
        <v>883</v>
      </c>
      <c r="B884" s="2">
        <v>40583</v>
      </c>
      <c r="C884">
        <v>1</v>
      </c>
      <c r="D884">
        <v>2</v>
      </c>
      <c r="E884">
        <v>6</v>
      </c>
      <c r="F884" t="b">
        <v>0</v>
      </c>
      <c r="G884">
        <v>3</v>
      </c>
      <c r="H884">
        <v>1</v>
      </c>
      <c r="I884">
        <v>0.06</v>
      </c>
      <c r="J884">
        <v>0.1515</v>
      </c>
      <c r="K884">
        <v>0.45</v>
      </c>
      <c r="L884">
        <f t="shared" ref="L884" si="16">AVERAGE(J884:K884)</f>
        <v>0.30075000000000002</v>
      </c>
      <c r="M884">
        <v>0</v>
      </c>
      <c r="N884">
        <v>43</v>
      </c>
      <c r="O884">
        <v>43</v>
      </c>
    </row>
    <row r="885" spans="1:15" x14ac:dyDescent="0.25">
      <c r="A885">
        <v>884</v>
      </c>
      <c r="B885" s="2">
        <v>40583</v>
      </c>
      <c r="C885">
        <v>1</v>
      </c>
      <c r="D885">
        <v>2</v>
      </c>
      <c r="E885">
        <v>7</v>
      </c>
      <c r="F885" t="b">
        <v>0</v>
      </c>
      <c r="G885">
        <v>3</v>
      </c>
      <c r="H885">
        <v>1</v>
      </c>
      <c r="I885">
        <v>0.06</v>
      </c>
      <c r="J885">
        <v>0.1061</v>
      </c>
      <c r="K885">
        <v>0.49</v>
      </c>
      <c r="L885">
        <v>0.1045</v>
      </c>
      <c r="M885">
        <v>4</v>
      </c>
      <c r="N885">
        <v>95</v>
      </c>
      <c r="O885">
        <v>99</v>
      </c>
    </row>
    <row r="886" spans="1:15" x14ac:dyDescent="0.25">
      <c r="A886">
        <v>885</v>
      </c>
      <c r="B886" s="2">
        <v>40583</v>
      </c>
      <c r="C886">
        <v>1</v>
      </c>
      <c r="D886">
        <v>2</v>
      </c>
      <c r="E886">
        <v>8</v>
      </c>
      <c r="F886" t="b">
        <v>0</v>
      </c>
      <c r="G886">
        <v>3</v>
      </c>
      <c r="H886">
        <v>1</v>
      </c>
      <c r="I886">
        <v>0.1</v>
      </c>
      <c r="J886">
        <v>0.13639999999999999</v>
      </c>
      <c r="K886">
        <v>0.42</v>
      </c>
      <c r="L886">
        <f t="shared" ref="L886" si="17">AVERAGE(J886:K886)</f>
        <v>0.2782</v>
      </c>
      <c r="M886">
        <v>1</v>
      </c>
      <c r="N886">
        <v>198</v>
      </c>
      <c r="O886">
        <v>199</v>
      </c>
    </row>
    <row r="887" spans="1:15" x14ac:dyDescent="0.25">
      <c r="A887">
        <v>886</v>
      </c>
      <c r="B887" s="2">
        <v>40583</v>
      </c>
      <c r="C887">
        <v>1</v>
      </c>
      <c r="D887">
        <v>2</v>
      </c>
      <c r="E887">
        <v>9</v>
      </c>
      <c r="F887" t="b">
        <v>0</v>
      </c>
      <c r="G887">
        <v>3</v>
      </c>
      <c r="H887">
        <v>1</v>
      </c>
      <c r="I887">
        <v>0.12</v>
      </c>
      <c r="J887">
        <v>0.13639999999999999</v>
      </c>
      <c r="K887">
        <v>0.39</v>
      </c>
      <c r="L887">
        <v>0.16420000000000001</v>
      </c>
      <c r="M887">
        <v>4</v>
      </c>
      <c r="N887">
        <v>119</v>
      </c>
      <c r="O887">
        <v>123</v>
      </c>
    </row>
    <row r="888" spans="1:15" x14ac:dyDescent="0.25">
      <c r="A888">
        <v>887</v>
      </c>
      <c r="B888" s="2">
        <v>40583</v>
      </c>
      <c r="C888">
        <v>1</v>
      </c>
      <c r="D888">
        <v>2</v>
      </c>
      <c r="E888">
        <v>10</v>
      </c>
      <c r="F888" t="b">
        <v>0</v>
      </c>
      <c r="G888">
        <v>3</v>
      </c>
      <c r="H888">
        <v>1</v>
      </c>
      <c r="I888">
        <v>0.14000000000000001</v>
      </c>
      <c r="J888">
        <v>0.18179999999999999</v>
      </c>
      <c r="K888">
        <v>0.36</v>
      </c>
      <c r="L888">
        <f t="shared" ref="L888" si="18">AVERAGE(J888:K888)</f>
        <v>0.27089999999999997</v>
      </c>
      <c r="M888">
        <v>8</v>
      </c>
      <c r="N888">
        <v>51</v>
      </c>
      <c r="O888">
        <v>59</v>
      </c>
    </row>
    <row r="889" spans="1:15" x14ac:dyDescent="0.25">
      <c r="A889">
        <v>888</v>
      </c>
      <c r="B889" s="2">
        <v>40583</v>
      </c>
      <c r="C889">
        <v>1</v>
      </c>
      <c r="D889">
        <v>2</v>
      </c>
      <c r="E889">
        <v>11</v>
      </c>
      <c r="F889" t="b">
        <v>0</v>
      </c>
      <c r="G889">
        <v>3</v>
      </c>
      <c r="H889">
        <v>2</v>
      </c>
      <c r="I889">
        <v>0.14000000000000001</v>
      </c>
      <c r="J889">
        <v>0.1515</v>
      </c>
      <c r="K889">
        <v>0.43</v>
      </c>
      <c r="L889">
        <v>0.16420000000000001</v>
      </c>
      <c r="M889">
        <v>1</v>
      </c>
      <c r="N889">
        <v>40</v>
      </c>
      <c r="O889">
        <v>41</v>
      </c>
    </row>
    <row r="890" spans="1:15" x14ac:dyDescent="0.25">
      <c r="A890">
        <v>889</v>
      </c>
      <c r="B890" s="2">
        <v>40583</v>
      </c>
      <c r="C890">
        <v>1</v>
      </c>
      <c r="D890">
        <v>2</v>
      </c>
      <c r="E890">
        <v>12</v>
      </c>
      <c r="F890" t="b">
        <v>0</v>
      </c>
      <c r="G890">
        <v>3</v>
      </c>
      <c r="H890">
        <v>2</v>
      </c>
      <c r="I890">
        <v>0.18</v>
      </c>
      <c r="J890">
        <v>0.18179999999999999</v>
      </c>
      <c r="K890">
        <v>0.4</v>
      </c>
      <c r="L890">
        <v>0.22389999999999999</v>
      </c>
      <c r="M890">
        <v>4</v>
      </c>
      <c r="N890">
        <v>57</v>
      </c>
      <c r="O890">
        <v>61</v>
      </c>
    </row>
    <row r="891" spans="1:15" x14ac:dyDescent="0.25">
      <c r="A891">
        <v>890</v>
      </c>
      <c r="B891" s="2">
        <v>40583</v>
      </c>
      <c r="C891">
        <v>1</v>
      </c>
      <c r="D891">
        <v>2</v>
      </c>
      <c r="E891">
        <v>13</v>
      </c>
      <c r="F891" t="b">
        <v>0</v>
      </c>
      <c r="G891">
        <v>3</v>
      </c>
      <c r="H891">
        <v>1</v>
      </c>
      <c r="I891">
        <v>0.18</v>
      </c>
      <c r="J891">
        <v>0.16669999999999999</v>
      </c>
      <c r="K891">
        <v>0.4</v>
      </c>
      <c r="L891">
        <v>0.25369999999999998</v>
      </c>
      <c r="M891">
        <v>2</v>
      </c>
      <c r="N891">
        <v>67</v>
      </c>
      <c r="O891">
        <v>69</v>
      </c>
    </row>
    <row r="892" spans="1:15" x14ac:dyDescent="0.25">
      <c r="A892">
        <v>891</v>
      </c>
      <c r="B892" s="2">
        <v>40583</v>
      </c>
      <c r="C892">
        <v>1</v>
      </c>
      <c r="D892">
        <v>2</v>
      </c>
      <c r="E892">
        <v>14</v>
      </c>
      <c r="F892" t="b">
        <v>0</v>
      </c>
      <c r="G892">
        <v>3</v>
      </c>
      <c r="H892">
        <v>1</v>
      </c>
      <c r="I892">
        <v>0.2</v>
      </c>
      <c r="J892">
        <v>0.18179999999999999</v>
      </c>
      <c r="K892">
        <v>0.34</v>
      </c>
      <c r="L892">
        <v>0.29849999999999999</v>
      </c>
      <c r="M892">
        <v>2</v>
      </c>
      <c r="N892">
        <v>56</v>
      </c>
      <c r="O892">
        <v>58</v>
      </c>
    </row>
    <row r="893" spans="1:15" x14ac:dyDescent="0.25">
      <c r="A893">
        <v>892</v>
      </c>
      <c r="B893" s="2">
        <v>40583</v>
      </c>
      <c r="C893">
        <v>1</v>
      </c>
      <c r="D893">
        <v>2</v>
      </c>
      <c r="E893">
        <v>15</v>
      </c>
      <c r="F893" t="b">
        <v>0</v>
      </c>
      <c r="G893">
        <v>3</v>
      </c>
      <c r="H893">
        <v>2</v>
      </c>
      <c r="I893">
        <v>0.2</v>
      </c>
      <c r="J893">
        <v>0.18179999999999999</v>
      </c>
      <c r="K893">
        <v>0.34</v>
      </c>
      <c r="L893">
        <v>0.28360000000000002</v>
      </c>
      <c r="M893">
        <v>3</v>
      </c>
      <c r="N893">
        <v>61</v>
      </c>
      <c r="O893">
        <v>64</v>
      </c>
    </row>
    <row r="894" spans="1:15" x14ac:dyDescent="0.25">
      <c r="A894">
        <v>893</v>
      </c>
      <c r="B894" s="2">
        <v>40583</v>
      </c>
      <c r="C894">
        <v>1</v>
      </c>
      <c r="D894">
        <v>2</v>
      </c>
      <c r="E894">
        <v>16</v>
      </c>
      <c r="F894" t="b">
        <v>0</v>
      </c>
      <c r="G894">
        <v>3</v>
      </c>
      <c r="H894">
        <v>2</v>
      </c>
      <c r="I894">
        <v>0.2</v>
      </c>
      <c r="J894">
        <v>0.19700000000000001</v>
      </c>
      <c r="K894">
        <v>0.37</v>
      </c>
      <c r="L894">
        <v>0.25369999999999998</v>
      </c>
      <c r="M894">
        <v>7</v>
      </c>
      <c r="N894">
        <v>72</v>
      </c>
      <c r="O894">
        <v>79</v>
      </c>
    </row>
    <row r="895" spans="1:15" x14ac:dyDescent="0.25">
      <c r="A895">
        <v>894</v>
      </c>
      <c r="B895" s="2">
        <v>40583</v>
      </c>
      <c r="C895">
        <v>1</v>
      </c>
      <c r="D895">
        <v>2</v>
      </c>
      <c r="E895">
        <v>17</v>
      </c>
      <c r="F895" t="b">
        <v>0</v>
      </c>
      <c r="G895">
        <v>3</v>
      </c>
      <c r="H895">
        <v>2</v>
      </c>
      <c r="I895">
        <v>0.2</v>
      </c>
      <c r="J895">
        <v>0.19700000000000001</v>
      </c>
      <c r="K895">
        <v>0.34</v>
      </c>
      <c r="L895">
        <v>0.25369999999999998</v>
      </c>
      <c r="M895">
        <v>9</v>
      </c>
      <c r="N895">
        <v>157</v>
      </c>
      <c r="O895">
        <v>166</v>
      </c>
    </row>
    <row r="896" spans="1:15" x14ac:dyDescent="0.25">
      <c r="A896">
        <v>895</v>
      </c>
      <c r="B896" s="2">
        <v>40583</v>
      </c>
      <c r="C896">
        <v>1</v>
      </c>
      <c r="D896">
        <v>2</v>
      </c>
      <c r="E896">
        <v>18</v>
      </c>
      <c r="F896" t="b">
        <v>0</v>
      </c>
      <c r="G896">
        <v>3</v>
      </c>
      <c r="H896">
        <v>2</v>
      </c>
      <c r="I896">
        <v>0.18</v>
      </c>
      <c r="J896">
        <v>0.16669999999999999</v>
      </c>
      <c r="K896">
        <v>0.47</v>
      </c>
      <c r="L896">
        <v>0.29849999999999999</v>
      </c>
      <c r="M896">
        <v>2</v>
      </c>
      <c r="N896">
        <v>168</v>
      </c>
      <c r="O896">
        <v>170</v>
      </c>
    </row>
    <row r="897" spans="1:15" x14ac:dyDescent="0.25">
      <c r="A897">
        <v>896</v>
      </c>
      <c r="B897" s="2">
        <v>40583</v>
      </c>
      <c r="C897">
        <v>1</v>
      </c>
      <c r="D897">
        <v>2</v>
      </c>
      <c r="E897">
        <v>19</v>
      </c>
      <c r="F897" t="b">
        <v>0</v>
      </c>
      <c r="G897">
        <v>3</v>
      </c>
      <c r="H897">
        <v>3</v>
      </c>
      <c r="I897">
        <v>0.14000000000000001</v>
      </c>
      <c r="J897">
        <v>0.1212</v>
      </c>
      <c r="K897">
        <v>0.86</v>
      </c>
      <c r="L897">
        <v>0.25369999999999998</v>
      </c>
      <c r="M897">
        <v>1</v>
      </c>
      <c r="N897">
        <v>87</v>
      </c>
      <c r="O897">
        <v>88</v>
      </c>
    </row>
    <row r="898" spans="1:15" x14ac:dyDescent="0.25">
      <c r="A898">
        <v>897</v>
      </c>
      <c r="B898" s="2">
        <v>40583</v>
      </c>
      <c r="C898">
        <v>1</v>
      </c>
      <c r="D898">
        <v>2</v>
      </c>
      <c r="E898">
        <v>20</v>
      </c>
      <c r="F898" t="b">
        <v>0</v>
      </c>
      <c r="G898">
        <v>3</v>
      </c>
      <c r="H898">
        <v>3</v>
      </c>
      <c r="I898">
        <v>0.14000000000000001</v>
      </c>
      <c r="J898">
        <v>0.1515</v>
      </c>
      <c r="K898">
        <v>0.86</v>
      </c>
      <c r="L898">
        <v>0.16420000000000001</v>
      </c>
      <c r="M898">
        <v>0</v>
      </c>
      <c r="N898">
        <v>84</v>
      </c>
      <c r="O898">
        <v>84</v>
      </c>
    </row>
    <row r="899" spans="1:15" x14ac:dyDescent="0.25">
      <c r="A899">
        <v>898</v>
      </c>
      <c r="B899" s="2">
        <v>40583</v>
      </c>
      <c r="C899">
        <v>1</v>
      </c>
      <c r="D899">
        <v>2</v>
      </c>
      <c r="E899">
        <v>21</v>
      </c>
      <c r="F899" t="b">
        <v>0</v>
      </c>
      <c r="G899">
        <v>3</v>
      </c>
      <c r="H899">
        <v>2</v>
      </c>
      <c r="I899">
        <v>0.14000000000000001</v>
      </c>
      <c r="J899">
        <v>0.1515</v>
      </c>
      <c r="K899">
        <v>0.86</v>
      </c>
      <c r="L899">
        <v>0.16420000000000001</v>
      </c>
      <c r="M899">
        <v>0</v>
      </c>
      <c r="N899">
        <v>83</v>
      </c>
      <c r="O899">
        <v>83</v>
      </c>
    </row>
    <row r="900" spans="1:15" x14ac:dyDescent="0.25">
      <c r="A900">
        <v>899</v>
      </c>
      <c r="B900" s="2">
        <v>40583</v>
      </c>
      <c r="C900">
        <v>1</v>
      </c>
      <c r="D900">
        <v>2</v>
      </c>
      <c r="E900">
        <v>22</v>
      </c>
      <c r="F900" t="b">
        <v>0</v>
      </c>
      <c r="G900">
        <v>3</v>
      </c>
      <c r="H900">
        <v>3</v>
      </c>
      <c r="I900">
        <v>0.16</v>
      </c>
      <c r="J900">
        <v>0.16669999999999999</v>
      </c>
      <c r="K900">
        <v>0.8</v>
      </c>
      <c r="L900">
        <v>0.16420000000000001</v>
      </c>
      <c r="M900">
        <v>4</v>
      </c>
      <c r="N900">
        <v>42</v>
      </c>
      <c r="O900">
        <v>46</v>
      </c>
    </row>
    <row r="901" spans="1:15" x14ac:dyDescent="0.25">
      <c r="A901">
        <v>900</v>
      </c>
      <c r="B901" s="2">
        <v>40583</v>
      </c>
      <c r="C901">
        <v>1</v>
      </c>
      <c r="D901">
        <v>2</v>
      </c>
      <c r="E901">
        <v>23</v>
      </c>
      <c r="F901" t="b">
        <v>0</v>
      </c>
      <c r="G901">
        <v>3</v>
      </c>
      <c r="H901">
        <v>3</v>
      </c>
      <c r="I901">
        <v>0.16</v>
      </c>
      <c r="J901">
        <v>0.1515</v>
      </c>
      <c r="K901">
        <v>0.8</v>
      </c>
      <c r="L901">
        <v>0.19400000000000001</v>
      </c>
      <c r="M901">
        <v>0</v>
      </c>
      <c r="N901">
        <v>37</v>
      </c>
      <c r="O901">
        <v>37</v>
      </c>
    </row>
    <row r="902" spans="1:15" x14ac:dyDescent="0.25">
      <c r="A902">
        <v>901</v>
      </c>
      <c r="B902" s="2">
        <v>40584</v>
      </c>
      <c r="C902">
        <v>1</v>
      </c>
      <c r="D902">
        <v>2</v>
      </c>
      <c r="E902">
        <v>0</v>
      </c>
      <c r="F902" t="b">
        <v>0</v>
      </c>
      <c r="G902">
        <v>4</v>
      </c>
      <c r="H902">
        <v>3</v>
      </c>
      <c r="I902">
        <v>0.14000000000000001</v>
      </c>
      <c r="J902">
        <v>0.13639999999999999</v>
      </c>
      <c r="K902">
        <v>0.86</v>
      </c>
      <c r="L902">
        <v>0.19400000000000001</v>
      </c>
      <c r="M902">
        <v>0</v>
      </c>
      <c r="N902">
        <v>16</v>
      </c>
      <c r="O902">
        <v>16</v>
      </c>
    </row>
    <row r="903" spans="1:15" x14ac:dyDescent="0.25">
      <c r="A903">
        <v>902</v>
      </c>
      <c r="B903" s="2">
        <v>40584</v>
      </c>
      <c r="C903">
        <v>1</v>
      </c>
      <c r="D903">
        <v>2</v>
      </c>
      <c r="E903">
        <v>1</v>
      </c>
      <c r="F903" t="b">
        <v>0</v>
      </c>
      <c r="G903">
        <v>4</v>
      </c>
      <c r="H903">
        <v>3</v>
      </c>
      <c r="I903">
        <v>0.14000000000000001</v>
      </c>
      <c r="J903">
        <v>0.1515</v>
      </c>
      <c r="K903">
        <v>0.8</v>
      </c>
      <c r="L903">
        <v>0.1343</v>
      </c>
      <c r="M903">
        <v>0</v>
      </c>
      <c r="N903">
        <v>7</v>
      </c>
      <c r="O903">
        <v>7</v>
      </c>
    </row>
    <row r="904" spans="1:15" x14ac:dyDescent="0.25">
      <c r="A904">
        <v>903</v>
      </c>
      <c r="B904" s="2">
        <v>40584</v>
      </c>
      <c r="C904">
        <v>1</v>
      </c>
      <c r="D904">
        <v>2</v>
      </c>
      <c r="E904">
        <v>2</v>
      </c>
      <c r="F904" t="b">
        <v>0</v>
      </c>
      <c r="G904">
        <v>4</v>
      </c>
      <c r="H904">
        <v>3</v>
      </c>
      <c r="I904">
        <v>0.14000000000000001</v>
      </c>
      <c r="J904">
        <v>0.1515</v>
      </c>
      <c r="K904">
        <v>0.8</v>
      </c>
      <c r="L904">
        <v>0.1343</v>
      </c>
      <c r="M904">
        <v>0</v>
      </c>
      <c r="N904">
        <v>3</v>
      </c>
      <c r="O904">
        <v>3</v>
      </c>
    </row>
    <row r="905" spans="1:15" x14ac:dyDescent="0.25">
      <c r="A905">
        <v>904</v>
      </c>
      <c r="B905" s="2">
        <v>40584</v>
      </c>
      <c r="C905">
        <v>1</v>
      </c>
      <c r="D905">
        <v>2</v>
      </c>
      <c r="E905">
        <v>4</v>
      </c>
      <c r="F905" t="b">
        <v>0</v>
      </c>
      <c r="G905">
        <v>4</v>
      </c>
      <c r="H905">
        <v>2</v>
      </c>
      <c r="I905">
        <v>0.14000000000000001</v>
      </c>
      <c r="J905">
        <v>0.13639999999999999</v>
      </c>
      <c r="K905">
        <v>0.59</v>
      </c>
      <c r="L905">
        <v>0.22389999999999999</v>
      </c>
      <c r="M905">
        <v>0</v>
      </c>
      <c r="N905">
        <v>1</v>
      </c>
      <c r="O905">
        <v>1</v>
      </c>
    </row>
    <row r="906" spans="1:15" x14ac:dyDescent="0.25">
      <c r="A906">
        <v>905</v>
      </c>
      <c r="B906" s="2">
        <v>40584</v>
      </c>
      <c r="C906">
        <v>1</v>
      </c>
      <c r="D906">
        <v>2</v>
      </c>
      <c r="E906">
        <v>5</v>
      </c>
      <c r="F906" t="b">
        <v>0</v>
      </c>
      <c r="G906">
        <v>4</v>
      </c>
      <c r="H906">
        <v>2</v>
      </c>
      <c r="I906">
        <v>0.12</v>
      </c>
      <c r="J906">
        <v>0.1212</v>
      </c>
      <c r="K906">
        <v>0.5</v>
      </c>
      <c r="L906">
        <v>0.22389999999999999</v>
      </c>
      <c r="M906">
        <v>0</v>
      </c>
      <c r="N906">
        <v>6</v>
      </c>
      <c r="O906">
        <v>6</v>
      </c>
    </row>
    <row r="907" spans="1:15" x14ac:dyDescent="0.25">
      <c r="A907">
        <v>906</v>
      </c>
      <c r="B907" s="2">
        <v>40584</v>
      </c>
      <c r="C907">
        <v>1</v>
      </c>
      <c r="D907">
        <v>2</v>
      </c>
      <c r="E907">
        <v>6</v>
      </c>
      <c r="F907" t="b">
        <v>0</v>
      </c>
      <c r="G907">
        <v>4</v>
      </c>
      <c r="H907">
        <v>2</v>
      </c>
      <c r="I907">
        <v>0.12</v>
      </c>
      <c r="J907">
        <v>0.1212</v>
      </c>
      <c r="K907">
        <v>0.54</v>
      </c>
      <c r="L907">
        <v>0.28360000000000002</v>
      </c>
      <c r="M907">
        <v>0</v>
      </c>
      <c r="N907">
        <v>26</v>
      </c>
      <c r="O907">
        <v>26</v>
      </c>
    </row>
    <row r="908" spans="1:15" x14ac:dyDescent="0.25">
      <c r="A908">
        <v>907</v>
      </c>
      <c r="B908" s="2">
        <v>40584</v>
      </c>
      <c r="C908">
        <v>1</v>
      </c>
      <c r="D908">
        <v>2</v>
      </c>
      <c r="E908">
        <v>7</v>
      </c>
      <c r="F908" t="b">
        <v>0</v>
      </c>
      <c r="G908">
        <v>4</v>
      </c>
      <c r="H908">
        <v>1</v>
      </c>
      <c r="I908">
        <v>0.1</v>
      </c>
      <c r="J908">
        <v>7.5800000000000006E-2</v>
      </c>
      <c r="K908">
        <v>0.5</v>
      </c>
      <c r="L908">
        <v>0.41789999999999999</v>
      </c>
      <c r="M908">
        <v>0</v>
      </c>
      <c r="N908">
        <v>99</v>
      </c>
      <c r="O908">
        <v>99</v>
      </c>
    </row>
    <row r="909" spans="1:15" x14ac:dyDescent="0.25">
      <c r="A909">
        <v>908</v>
      </c>
      <c r="B909" s="2">
        <v>40584</v>
      </c>
      <c r="C909">
        <v>1</v>
      </c>
      <c r="D909">
        <v>2</v>
      </c>
      <c r="E909">
        <v>8</v>
      </c>
      <c r="F909" t="b">
        <v>0</v>
      </c>
      <c r="G909">
        <v>4</v>
      </c>
      <c r="H909">
        <v>1</v>
      </c>
      <c r="I909">
        <v>0.1</v>
      </c>
      <c r="J909">
        <v>7.5800000000000006E-2</v>
      </c>
      <c r="K909">
        <v>0.49</v>
      </c>
      <c r="L909">
        <v>0.32840000000000003</v>
      </c>
      <c r="M909">
        <v>5</v>
      </c>
      <c r="N909">
        <v>173</v>
      </c>
      <c r="O909">
        <v>178</v>
      </c>
    </row>
    <row r="910" spans="1:15" x14ac:dyDescent="0.25">
      <c r="A910">
        <v>909</v>
      </c>
      <c r="B910" s="2">
        <v>40584</v>
      </c>
      <c r="C910">
        <v>1</v>
      </c>
      <c r="D910">
        <v>2</v>
      </c>
      <c r="E910">
        <v>9</v>
      </c>
      <c r="F910" t="b">
        <v>0</v>
      </c>
      <c r="G910">
        <v>4</v>
      </c>
      <c r="H910">
        <v>1</v>
      </c>
      <c r="I910">
        <v>0.12</v>
      </c>
      <c r="J910">
        <v>0.1061</v>
      </c>
      <c r="K910">
        <v>0.42</v>
      </c>
      <c r="L910">
        <v>0.35820000000000002</v>
      </c>
      <c r="M910">
        <v>1</v>
      </c>
      <c r="N910">
        <v>121</v>
      </c>
      <c r="O910">
        <v>122</v>
      </c>
    </row>
    <row r="911" spans="1:15" x14ac:dyDescent="0.25">
      <c r="A911">
        <v>910</v>
      </c>
      <c r="B911" s="2">
        <v>40584</v>
      </c>
      <c r="C911">
        <v>1</v>
      </c>
      <c r="D911">
        <v>2</v>
      </c>
      <c r="E911">
        <v>10</v>
      </c>
      <c r="F911" t="b">
        <v>0</v>
      </c>
      <c r="G911">
        <v>4</v>
      </c>
      <c r="H911">
        <v>1</v>
      </c>
      <c r="I911">
        <v>0.12</v>
      </c>
      <c r="J911">
        <v>0.1061</v>
      </c>
      <c r="K911">
        <v>0.42</v>
      </c>
      <c r="L911">
        <v>0.29849999999999999</v>
      </c>
      <c r="M911">
        <v>1</v>
      </c>
      <c r="N911">
        <v>34</v>
      </c>
      <c r="O911">
        <v>35</v>
      </c>
    </row>
    <row r="912" spans="1:15" x14ac:dyDescent="0.25">
      <c r="A912">
        <v>911</v>
      </c>
      <c r="B912" s="2">
        <v>40584</v>
      </c>
      <c r="C912">
        <v>1</v>
      </c>
      <c r="D912">
        <v>2</v>
      </c>
      <c r="E912">
        <v>11</v>
      </c>
      <c r="F912" t="b">
        <v>0</v>
      </c>
      <c r="G912">
        <v>4</v>
      </c>
      <c r="H912">
        <v>1</v>
      </c>
      <c r="I912">
        <v>0.14000000000000001</v>
      </c>
      <c r="J912">
        <v>0.1212</v>
      </c>
      <c r="K912">
        <v>0.39</v>
      </c>
      <c r="L912">
        <v>0.35820000000000002</v>
      </c>
      <c r="M912">
        <v>1</v>
      </c>
      <c r="N912">
        <v>44</v>
      </c>
      <c r="O912">
        <v>45</v>
      </c>
    </row>
    <row r="913" spans="1:15" x14ac:dyDescent="0.25">
      <c r="A913">
        <v>912</v>
      </c>
      <c r="B913" s="2">
        <v>40584</v>
      </c>
      <c r="C913">
        <v>1</v>
      </c>
      <c r="D913">
        <v>2</v>
      </c>
      <c r="E913">
        <v>12</v>
      </c>
      <c r="F913" t="b">
        <v>0</v>
      </c>
      <c r="G913">
        <v>4</v>
      </c>
      <c r="H913">
        <v>1</v>
      </c>
      <c r="I913">
        <v>0.16</v>
      </c>
      <c r="J913">
        <v>0.13639999999999999</v>
      </c>
      <c r="K913">
        <v>0.34</v>
      </c>
      <c r="L913">
        <v>0.3881</v>
      </c>
      <c r="M913">
        <v>4</v>
      </c>
      <c r="N913">
        <v>65</v>
      </c>
      <c r="O913">
        <v>69</v>
      </c>
    </row>
    <row r="914" spans="1:15" x14ac:dyDescent="0.25">
      <c r="A914">
        <v>913</v>
      </c>
      <c r="B914" s="2">
        <v>40584</v>
      </c>
      <c r="C914">
        <v>1</v>
      </c>
      <c r="D914">
        <v>2</v>
      </c>
      <c r="E914">
        <v>13</v>
      </c>
      <c r="F914" t="b">
        <v>0</v>
      </c>
      <c r="G914">
        <v>4</v>
      </c>
      <c r="H914">
        <v>1</v>
      </c>
      <c r="I914">
        <v>0.18</v>
      </c>
      <c r="J914">
        <v>0.16669999999999999</v>
      </c>
      <c r="K914">
        <v>0.28999999999999998</v>
      </c>
      <c r="L914">
        <v>0.29849999999999999</v>
      </c>
      <c r="M914">
        <v>3</v>
      </c>
      <c r="N914">
        <v>59</v>
      </c>
      <c r="O914">
        <v>62</v>
      </c>
    </row>
    <row r="915" spans="1:15" x14ac:dyDescent="0.25">
      <c r="A915">
        <v>914</v>
      </c>
      <c r="B915" s="2">
        <v>40584</v>
      </c>
      <c r="C915">
        <v>1</v>
      </c>
      <c r="D915">
        <v>2</v>
      </c>
      <c r="E915">
        <v>14</v>
      </c>
      <c r="F915" t="b">
        <v>0</v>
      </c>
      <c r="G915">
        <v>4</v>
      </c>
      <c r="H915">
        <v>1</v>
      </c>
      <c r="I915">
        <v>0.2</v>
      </c>
      <c r="J915">
        <v>0.18179999999999999</v>
      </c>
      <c r="K915">
        <v>0.27</v>
      </c>
      <c r="L915">
        <v>0.28360000000000002</v>
      </c>
      <c r="M915">
        <v>6</v>
      </c>
      <c r="N915">
        <v>42</v>
      </c>
      <c r="O915">
        <v>48</v>
      </c>
    </row>
    <row r="916" spans="1:15" x14ac:dyDescent="0.25">
      <c r="A916">
        <v>915</v>
      </c>
      <c r="B916" s="2">
        <v>40584</v>
      </c>
      <c r="C916">
        <v>1</v>
      </c>
      <c r="D916">
        <v>2</v>
      </c>
      <c r="E916">
        <v>15</v>
      </c>
      <c r="F916" t="b">
        <v>0</v>
      </c>
      <c r="G916">
        <v>4</v>
      </c>
      <c r="H916">
        <v>1</v>
      </c>
      <c r="I916">
        <v>0.2</v>
      </c>
      <c r="J916">
        <v>0.19700000000000001</v>
      </c>
      <c r="K916">
        <v>0.25</v>
      </c>
      <c r="L916">
        <v>0.25369999999999998</v>
      </c>
      <c r="M916">
        <v>0</v>
      </c>
      <c r="N916">
        <v>50</v>
      </c>
      <c r="O916">
        <v>50</v>
      </c>
    </row>
    <row r="917" spans="1:15" x14ac:dyDescent="0.25">
      <c r="A917">
        <v>916</v>
      </c>
      <c r="B917" s="2">
        <v>40584</v>
      </c>
      <c r="C917">
        <v>1</v>
      </c>
      <c r="D917">
        <v>2</v>
      </c>
      <c r="E917">
        <v>16</v>
      </c>
      <c r="F917" t="b">
        <v>0</v>
      </c>
      <c r="G917">
        <v>4</v>
      </c>
      <c r="H917">
        <v>1</v>
      </c>
      <c r="I917">
        <v>0.2</v>
      </c>
      <c r="J917">
        <v>0.18179999999999999</v>
      </c>
      <c r="K917">
        <v>0.27</v>
      </c>
      <c r="L917">
        <v>0.29849999999999999</v>
      </c>
      <c r="M917">
        <v>4</v>
      </c>
      <c r="N917">
        <v>76</v>
      </c>
      <c r="O917">
        <v>80</v>
      </c>
    </row>
    <row r="918" spans="1:15" x14ac:dyDescent="0.25">
      <c r="A918">
        <v>917</v>
      </c>
      <c r="B918" s="2">
        <v>40584</v>
      </c>
      <c r="C918">
        <v>1</v>
      </c>
      <c r="D918">
        <v>2</v>
      </c>
      <c r="E918">
        <v>17</v>
      </c>
      <c r="F918" t="b">
        <v>0</v>
      </c>
      <c r="G918">
        <v>4</v>
      </c>
      <c r="H918">
        <v>1</v>
      </c>
      <c r="I918">
        <v>0.18</v>
      </c>
      <c r="J918">
        <v>0.18179999999999999</v>
      </c>
      <c r="K918">
        <v>0.26</v>
      </c>
      <c r="L918">
        <v>0.19400000000000001</v>
      </c>
      <c r="M918">
        <v>6</v>
      </c>
      <c r="N918">
        <v>159</v>
      </c>
      <c r="O918">
        <v>165</v>
      </c>
    </row>
    <row r="919" spans="1:15" x14ac:dyDescent="0.25">
      <c r="A919">
        <v>918</v>
      </c>
      <c r="B919" s="2">
        <v>40584</v>
      </c>
      <c r="C919">
        <v>1</v>
      </c>
      <c r="D919">
        <v>2</v>
      </c>
      <c r="E919">
        <v>18</v>
      </c>
      <c r="F919" t="b">
        <v>0</v>
      </c>
      <c r="G919">
        <v>4</v>
      </c>
      <c r="H919">
        <v>1</v>
      </c>
      <c r="I919">
        <v>0.16</v>
      </c>
      <c r="J919">
        <v>0.18179999999999999</v>
      </c>
      <c r="K919">
        <v>0.28000000000000003</v>
      </c>
      <c r="L919">
        <v>0.1343</v>
      </c>
      <c r="M919">
        <v>3</v>
      </c>
      <c r="N919">
        <v>157</v>
      </c>
      <c r="O919">
        <v>160</v>
      </c>
    </row>
    <row r="920" spans="1:15" x14ac:dyDescent="0.25">
      <c r="A920">
        <v>919</v>
      </c>
      <c r="B920" s="2">
        <v>40584</v>
      </c>
      <c r="C920">
        <v>1</v>
      </c>
      <c r="D920">
        <v>2</v>
      </c>
      <c r="E920">
        <v>19</v>
      </c>
      <c r="F920" t="b">
        <v>0</v>
      </c>
      <c r="G920">
        <v>4</v>
      </c>
      <c r="H920">
        <v>1</v>
      </c>
      <c r="I920">
        <v>0.14000000000000001</v>
      </c>
      <c r="J920">
        <v>0.16669999999999999</v>
      </c>
      <c r="K920">
        <v>0.28000000000000003</v>
      </c>
      <c r="L920">
        <v>0.1045</v>
      </c>
      <c r="M920">
        <v>2</v>
      </c>
      <c r="N920">
        <v>110</v>
      </c>
      <c r="O920">
        <v>112</v>
      </c>
    </row>
    <row r="921" spans="1:15" x14ac:dyDescent="0.25">
      <c r="A921">
        <v>920</v>
      </c>
      <c r="B921" s="2">
        <v>40584</v>
      </c>
      <c r="C921">
        <v>1</v>
      </c>
      <c r="D921">
        <v>2</v>
      </c>
      <c r="E921">
        <v>20</v>
      </c>
      <c r="F921" t="b">
        <v>0</v>
      </c>
      <c r="G921">
        <v>4</v>
      </c>
      <c r="H921">
        <v>1</v>
      </c>
      <c r="I921">
        <v>0.14000000000000001</v>
      </c>
      <c r="J921">
        <v>0.18179999999999999</v>
      </c>
      <c r="K921">
        <v>0.31</v>
      </c>
      <c r="L921">
        <v>8.9599999999999999E-2</v>
      </c>
      <c r="M921">
        <v>4</v>
      </c>
      <c r="N921">
        <v>93</v>
      </c>
      <c r="O921">
        <v>97</v>
      </c>
    </row>
    <row r="922" spans="1:15" x14ac:dyDescent="0.25">
      <c r="A922">
        <v>921</v>
      </c>
      <c r="B922" s="2">
        <v>40584</v>
      </c>
      <c r="C922">
        <v>1</v>
      </c>
      <c r="D922">
        <v>2</v>
      </c>
      <c r="E922">
        <v>21</v>
      </c>
      <c r="F922" t="b">
        <v>0</v>
      </c>
      <c r="G922">
        <v>4</v>
      </c>
      <c r="H922">
        <v>1</v>
      </c>
      <c r="I922">
        <v>0.14000000000000001</v>
      </c>
      <c r="J922">
        <v>0.21210000000000001</v>
      </c>
      <c r="K922">
        <v>0.39</v>
      </c>
      <c r="L922">
        <f t="shared" ref="L922:L923" si="19">AVERAGE(J922:K922)</f>
        <v>0.30105000000000004</v>
      </c>
      <c r="M922">
        <v>2</v>
      </c>
      <c r="N922">
        <v>70</v>
      </c>
      <c r="O922">
        <v>72</v>
      </c>
    </row>
    <row r="923" spans="1:15" x14ac:dyDescent="0.25">
      <c r="A923">
        <v>922</v>
      </c>
      <c r="B923" s="2">
        <v>40584</v>
      </c>
      <c r="C923">
        <v>1</v>
      </c>
      <c r="D923">
        <v>2</v>
      </c>
      <c r="E923">
        <v>22</v>
      </c>
      <c r="F923" t="b">
        <v>0</v>
      </c>
      <c r="G923">
        <v>4</v>
      </c>
      <c r="H923">
        <v>1</v>
      </c>
      <c r="I923">
        <v>0.12</v>
      </c>
      <c r="J923">
        <v>0.19700000000000001</v>
      </c>
      <c r="K923">
        <v>0.39</v>
      </c>
      <c r="L923">
        <f t="shared" si="19"/>
        <v>0.29349999999999998</v>
      </c>
      <c r="M923">
        <v>4</v>
      </c>
      <c r="N923">
        <v>47</v>
      </c>
      <c r="O923">
        <v>51</v>
      </c>
    </row>
    <row r="924" spans="1:15" x14ac:dyDescent="0.25">
      <c r="A924">
        <v>923</v>
      </c>
      <c r="B924" s="2">
        <v>40584</v>
      </c>
      <c r="C924">
        <v>1</v>
      </c>
      <c r="D924">
        <v>2</v>
      </c>
      <c r="E924">
        <v>23</v>
      </c>
      <c r="F924" t="b">
        <v>0</v>
      </c>
      <c r="G924">
        <v>4</v>
      </c>
      <c r="H924">
        <v>1</v>
      </c>
      <c r="I924">
        <v>0.12</v>
      </c>
      <c r="J924">
        <v>0.1515</v>
      </c>
      <c r="K924">
        <v>0.42</v>
      </c>
      <c r="L924">
        <v>0.1045</v>
      </c>
      <c r="M924">
        <v>1</v>
      </c>
      <c r="N924">
        <v>33</v>
      </c>
      <c r="O924">
        <v>34</v>
      </c>
    </row>
    <row r="925" spans="1:15" x14ac:dyDescent="0.25">
      <c r="A925">
        <v>924</v>
      </c>
      <c r="B925" s="2">
        <v>40585</v>
      </c>
      <c r="C925">
        <v>1</v>
      </c>
      <c r="D925">
        <v>2</v>
      </c>
      <c r="E925">
        <v>0</v>
      </c>
      <c r="F925" t="b">
        <v>0</v>
      </c>
      <c r="G925">
        <v>5</v>
      </c>
      <c r="H925">
        <v>1</v>
      </c>
      <c r="I925">
        <v>0.1</v>
      </c>
      <c r="J925">
        <v>0.13639999999999999</v>
      </c>
      <c r="K925">
        <v>0.49</v>
      </c>
      <c r="L925">
        <v>0.1045</v>
      </c>
      <c r="M925">
        <v>2</v>
      </c>
      <c r="N925">
        <v>12</v>
      </c>
      <c r="O925">
        <v>14</v>
      </c>
    </row>
    <row r="926" spans="1:15" x14ac:dyDescent="0.25">
      <c r="A926">
        <v>925</v>
      </c>
      <c r="B926" s="2">
        <v>40585</v>
      </c>
      <c r="C926">
        <v>1</v>
      </c>
      <c r="D926">
        <v>2</v>
      </c>
      <c r="E926">
        <v>1</v>
      </c>
      <c r="F926" t="b">
        <v>0</v>
      </c>
      <c r="G926">
        <v>5</v>
      </c>
      <c r="H926">
        <v>1</v>
      </c>
      <c r="I926">
        <v>0.1</v>
      </c>
      <c r="J926">
        <v>0.13639999999999999</v>
      </c>
      <c r="K926">
        <v>0.54</v>
      </c>
      <c r="L926">
        <v>8.9599999999999999E-2</v>
      </c>
      <c r="M926">
        <v>1</v>
      </c>
      <c r="N926">
        <v>6</v>
      </c>
      <c r="O926">
        <v>7</v>
      </c>
    </row>
    <row r="927" spans="1:15" x14ac:dyDescent="0.25">
      <c r="A927">
        <v>926</v>
      </c>
      <c r="B927" s="2">
        <v>40585</v>
      </c>
      <c r="C927">
        <v>1</v>
      </c>
      <c r="D927">
        <v>2</v>
      </c>
      <c r="E927">
        <v>2</v>
      </c>
      <c r="F927" t="b">
        <v>0</v>
      </c>
      <c r="G927">
        <v>5</v>
      </c>
      <c r="H927">
        <v>1</v>
      </c>
      <c r="I927">
        <v>0.1</v>
      </c>
      <c r="J927">
        <v>0.13639999999999999</v>
      </c>
      <c r="K927">
        <v>0.54</v>
      </c>
      <c r="L927">
        <v>8.9599999999999999E-2</v>
      </c>
      <c r="M927">
        <v>0</v>
      </c>
      <c r="N927">
        <v>3</v>
      </c>
      <c r="O927">
        <v>3</v>
      </c>
    </row>
    <row r="928" spans="1:15" x14ac:dyDescent="0.25">
      <c r="A928">
        <v>927</v>
      </c>
      <c r="B928" s="2">
        <v>40585</v>
      </c>
      <c r="C928">
        <v>1</v>
      </c>
      <c r="D928">
        <v>2</v>
      </c>
      <c r="E928">
        <v>5</v>
      </c>
      <c r="F928" t="b">
        <v>0</v>
      </c>
      <c r="G928">
        <v>5</v>
      </c>
      <c r="H928">
        <v>1</v>
      </c>
      <c r="I928">
        <v>0.08</v>
      </c>
      <c r="J928">
        <v>0.1212</v>
      </c>
      <c r="K928">
        <v>0.63</v>
      </c>
      <c r="L928">
        <v>8.9599999999999999E-2</v>
      </c>
      <c r="M928">
        <v>0</v>
      </c>
      <c r="N928">
        <v>4</v>
      </c>
      <c r="O928">
        <v>4</v>
      </c>
    </row>
    <row r="929" spans="1:15" x14ac:dyDescent="0.25">
      <c r="A929">
        <v>928</v>
      </c>
      <c r="B929" s="2">
        <v>40585</v>
      </c>
      <c r="C929">
        <v>1</v>
      </c>
      <c r="D929">
        <v>2</v>
      </c>
      <c r="E929">
        <v>6</v>
      </c>
      <c r="F929" t="b">
        <v>0</v>
      </c>
      <c r="G929">
        <v>5</v>
      </c>
      <c r="H929">
        <v>1</v>
      </c>
      <c r="I929">
        <v>0.1</v>
      </c>
      <c r="J929">
        <v>0.18179999999999999</v>
      </c>
      <c r="K929">
        <v>0.68</v>
      </c>
      <c r="L929">
        <f t="shared" ref="L929:L930" si="20">AVERAGE(J929:K929)</f>
        <v>0.43090000000000001</v>
      </c>
      <c r="M929">
        <v>1</v>
      </c>
      <c r="N929">
        <v>23</v>
      </c>
      <c r="O929">
        <v>24</v>
      </c>
    </row>
    <row r="930" spans="1:15" x14ac:dyDescent="0.25">
      <c r="A930">
        <v>929</v>
      </c>
      <c r="B930" s="2">
        <v>40585</v>
      </c>
      <c r="C930">
        <v>1</v>
      </c>
      <c r="D930">
        <v>2</v>
      </c>
      <c r="E930">
        <v>7</v>
      </c>
      <c r="F930" t="b">
        <v>0</v>
      </c>
      <c r="G930">
        <v>5</v>
      </c>
      <c r="H930">
        <v>1</v>
      </c>
      <c r="I930">
        <v>0.08</v>
      </c>
      <c r="J930">
        <v>0.16669999999999999</v>
      </c>
      <c r="K930">
        <v>0.73</v>
      </c>
      <c r="L930">
        <f t="shared" si="20"/>
        <v>0.44834999999999997</v>
      </c>
      <c r="M930">
        <v>1</v>
      </c>
      <c r="N930">
        <v>73</v>
      </c>
      <c r="O930">
        <v>74</v>
      </c>
    </row>
    <row r="931" spans="1:15" x14ac:dyDescent="0.25">
      <c r="A931">
        <v>930</v>
      </c>
      <c r="B931" s="2">
        <v>40585</v>
      </c>
      <c r="C931">
        <v>1</v>
      </c>
      <c r="D931">
        <v>2</v>
      </c>
      <c r="E931">
        <v>8</v>
      </c>
      <c r="F931" t="b">
        <v>0</v>
      </c>
      <c r="G931">
        <v>5</v>
      </c>
      <c r="H931">
        <v>1</v>
      </c>
      <c r="I931">
        <v>0.1</v>
      </c>
      <c r="J931">
        <v>0.1212</v>
      </c>
      <c r="K931">
        <v>0.74</v>
      </c>
      <c r="L931">
        <v>0.16420000000000001</v>
      </c>
      <c r="M931">
        <v>4</v>
      </c>
      <c r="N931">
        <v>212</v>
      </c>
      <c r="O931">
        <v>216</v>
      </c>
    </row>
    <row r="932" spans="1:15" x14ac:dyDescent="0.25">
      <c r="A932">
        <v>931</v>
      </c>
      <c r="B932" s="2">
        <v>40585</v>
      </c>
      <c r="C932">
        <v>1</v>
      </c>
      <c r="D932">
        <v>2</v>
      </c>
      <c r="E932">
        <v>9</v>
      </c>
      <c r="F932" t="b">
        <v>0</v>
      </c>
      <c r="G932">
        <v>5</v>
      </c>
      <c r="H932">
        <v>1</v>
      </c>
      <c r="I932">
        <v>0.12</v>
      </c>
      <c r="J932">
        <v>0.1212</v>
      </c>
      <c r="K932">
        <v>0.74</v>
      </c>
      <c r="L932">
        <v>0.22389999999999999</v>
      </c>
      <c r="M932">
        <v>8</v>
      </c>
      <c r="N932">
        <v>132</v>
      </c>
      <c r="O932">
        <v>140</v>
      </c>
    </row>
    <row r="933" spans="1:15" x14ac:dyDescent="0.25">
      <c r="A933">
        <v>932</v>
      </c>
      <c r="B933" s="2">
        <v>40585</v>
      </c>
      <c r="C933">
        <v>1</v>
      </c>
      <c r="D933">
        <v>2</v>
      </c>
      <c r="E933">
        <v>10</v>
      </c>
      <c r="F933" t="b">
        <v>0</v>
      </c>
      <c r="G933">
        <v>5</v>
      </c>
      <c r="H933">
        <v>1</v>
      </c>
      <c r="I933">
        <v>0.14000000000000001</v>
      </c>
      <c r="J933">
        <v>0.13639999999999999</v>
      </c>
      <c r="K933">
        <v>0.69</v>
      </c>
      <c r="L933">
        <v>0.19400000000000001</v>
      </c>
      <c r="M933">
        <v>5</v>
      </c>
      <c r="N933">
        <v>39</v>
      </c>
      <c r="O933">
        <v>44</v>
      </c>
    </row>
    <row r="934" spans="1:15" x14ac:dyDescent="0.25">
      <c r="A934">
        <v>933</v>
      </c>
      <c r="B934" s="2">
        <v>40585</v>
      </c>
      <c r="C934">
        <v>1</v>
      </c>
      <c r="D934">
        <v>2</v>
      </c>
      <c r="E934">
        <v>11</v>
      </c>
      <c r="F934" t="b">
        <v>0</v>
      </c>
      <c r="G934">
        <v>5</v>
      </c>
      <c r="H934">
        <v>1</v>
      </c>
      <c r="I934">
        <v>0.22</v>
      </c>
      <c r="J934">
        <v>0.2273</v>
      </c>
      <c r="K934">
        <v>0.47</v>
      </c>
      <c r="L934">
        <v>0.1343</v>
      </c>
      <c r="M934">
        <v>12</v>
      </c>
      <c r="N934">
        <v>52</v>
      </c>
      <c r="O934">
        <v>64</v>
      </c>
    </row>
    <row r="935" spans="1:15" x14ac:dyDescent="0.25">
      <c r="A935">
        <v>934</v>
      </c>
      <c r="B935" s="2">
        <v>40585</v>
      </c>
      <c r="C935">
        <v>1</v>
      </c>
      <c r="D935">
        <v>2</v>
      </c>
      <c r="E935">
        <v>12</v>
      </c>
      <c r="F935" t="b">
        <v>0</v>
      </c>
      <c r="G935">
        <v>5</v>
      </c>
      <c r="H935">
        <v>1</v>
      </c>
      <c r="I935">
        <v>0.22</v>
      </c>
      <c r="J935">
        <v>0.2273</v>
      </c>
      <c r="K935">
        <v>0.47</v>
      </c>
      <c r="L935">
        <v>0.1343</v>
      </c>
      <c r="M935">
        <v>7</v>
      </c>
      <c r="N935">
        <v>64</v>
      </c>
      <c r="O935">
        <v>71</v>
      </c>
    </row>
    <row r="936" spans="1:15" x14ac:dyDescent="0.25">
      <c r="A936">
        <v>935</v>
      </c>
      <c r="B936" s="2">
        <v>40585</v>
      </c>
      <c r="C936">
        <v>1</v>
      </c>
      <c r="D936">
        <v>2</v>
      </c>
      <c r="E936">
        <v>13</v>
      </c>
      <c r="F936" t="b">
        <v>0</v>
      </c>
      <c r="G936">
        <v>5</v>
      </c>
      <c r="H936">
        <v>1</v>
      </c>
      <c r="I936">
        <v>0.24</v>
      </c>
      <c r="J936">
        <v>0.2273</v>
      </c>
      <c r="K936">
        <v>0.35</v>
      </c>
      <c r="L936">
        <v>0.19400000000000001</v>
      </c>
      <c r="M936">
        <v>21</v>
      </c>
      <c r="N936">
        <v>89</v>
      </c>
      <c r="O936">
        <v>110</v>
      </c>
    </row>
    <row r="937" spans="1:15" x14ac:dyDescent="0.25">
      <c r="A937">
        <v>936</v>
      </c>
      <c r="B937" s="2">
        <v>40585</v>
      </c>
      <c r="C937">
        <v>1</v>
      </c>
      <c r="D937">
        <v>2</v>
      </c>
      <c r="E937">
        <v>14</v>
      </c>
      <c r="F937" t="b">
        <v>0</v>
      </c>
      <c r="G937">
        <v>5</v>
      </c>
      <c r="H937">
        <v>1</v>
      </c>
      <c r="I937">
        <v>0.3</v>
      </c>
      <c r="J937">
        <v>0.28789999999999999</v>
      </c>
      <c r="K937">
        <v>0.26</v>
      </c>
      <c r="L937">
        <v>0.25369999999999998</v>
      </c>
      <c r="M937">
        <v>17</v>
      </c>
      <c r="N937">
        <v>67</v>
      </c>
      <c r="O937">
        <v>84</v>
      </c>
    </row>
    <row r="938" spans="1:15" x14ac:dyDescent="0.25">
      <c r="A938">
        <v>937</v>
      </c>
      <c r="B938" s="2">
        <v>40585</v>
      </c>
      <c r="C938">
        <v>1</v>
      </c>
      <c r="D938">
        <v>2</v>
      </c>
      <c r="E938">
        <v>15</v>
      </c>
      <c r="F938" t="b">
        <v>0</v>
      </c>
      <c r="G938">
        <v>5</v>
      </c>
      <c r="H938">
        <v>1</v>
      </c>
      <c r="I938">
        <v>0.32</v>
      </c>
      <c r="J938">
        <v>0.31819999999999998</v>
      </c>
      <c r="K938">
        <v>0.21</v>
      </c>
      <c r="L938">
        <v>0.16420000000000001</v>
      </c>
      <c r="M938">
        <v>12</v>
      </c>
      <c r="N938">
        <v>62</v>
      </c>
      <c r="O938">
        <v>74</v>
      </c>
    </row>
    <row r="939" spans="1:15" x14ac:dyDescent="0.25">
      <c r="A939">
        <v>938</v>
      </c>
      <c r="B939" s="2">
        <v>40585</v>
      </c>
      <c r="C939">
        <v>1</v>
      </c>
      <c r="D939">
        <v>2</v>
      </c>
      <c r="E939">
        <v>16</v>
      </c>
      <c r="F939" t="b">
        <v>0</v>
      </c>
      <c r="G939">
        <v>5</v>
      </c>
      <c r="H939">
        <v>1</v>
      </c>
      <c r="I939">
        <v>0.3</v>
      </c>
      <c r="J939">
        <v>0.28789999999999999</v>
      </c>
      <c r="K939">
        <v>0.28000000000000003</v>
      </c>
      <c r="L939">
        <v>0.19400000000000001</v>
      </c>
      <c r="M939">
        <v>14</v>
      </c>
      <c r="N939">
        <v>111</v>
      </c>
      <c r="O939">
        <v>125</v>
      </c>
    </row>
    <row r="940" spans="1:15" x14ac:dyDescent="0.25">
      <c r="A940">
        <v>939</v>
      </c>
      <c r="B940" s="2">
        <v>40585</v>
      </c>
      <c r="C940">
        <v>1</v>
      </c>
      <c r="D940">
        <v>2</v>
      </c>
      <c r="E940">
        <v>17</v>
      </c>
      <c r="F940" t="b">
        <v>0</v>
      </c>
      <c r="G940">
        <v>5</v>
      </c>
      <c r="H940">
        <v>1</v>
      </c>
      <c r="I940">
        <v>0.3</v>
      </c>
      <c r="J940">
        <v>0.33329999999999999</v>
      </c>
      <c r="K940">
        <v>0.24</v>
      </c>
      <c r="L940">
        <f t="shared" ref="L940:L942" si="21">AVERAGE(J940:K940)</f>
        <v>0.28664999999999996</v>
      </c>
      <c r="M940">
        <v>18</v>
      </c>
      <c r="N940">
        <v>193</v>
      </c>
      <c r="O940">
        <v>211</v>
      </c>
    </row>
    <row r="941" spans="1:15" x14ac:dyDescent="0.25">
      <c r="A941">
        <v>940</v>
      </c>
      <c r="B941" s="2">
        <v>40585</v>
      </c>
      <c r="C941">
        <v>1</v>
      </c>
      <c r="D941">
        <v>2</v>
      </c>
      <c r="E941">
        <v>18</v>
      </c>
      <c r="F941" t="b">
        <v>0</v>
      </c>
      <c r="G941">
        <v>5</v>
      </c>
      <c r="H941">
        <v>1</v>
      </c>
      <c r="I941">
        <v>0.28000000000000003</v>
      </c>
      <c r="J941">
        <v>0.31819999999999998</v>
      </c>
      <c r="K941">
        <v>0.28000000000000003</v>
      </c>
      <c r="L941">
        <f t="shared" si="21"/>
        <v>0.29910000000000003</v>
      </c>
      <c r="M941">
        <v>9</v>
      </c>
      <c r="N941">
        <v>165</v>
      </c>
      <c r="O941">
        <v>174</v>
      </c>
    </row>
    <row r="942" spans="1:15" x14ac:dyDescent="0.25">
      <c r="A942">
        <v>941</v>
      </c>
      <c r="B942" s="2">
        <v>40585</v>
      </c>
      <c r="C942">
        <v>1</v>
      </c>
      <c r="D942">
        <v>2</v>
      </c>
      <c r="E942">
        <v>19</v>
      </c>
      <c r="F942" t="b">
        <v>0</v>
      </c>
      <c r="G942">
        <v>5</v>
      </c>
      <c r="H942">
        <v>1</v>
      </c>
      <c r="I942">
        <v>0.26</v>
      </c>
      <c r="J942">
        <v>0.30299999999999999</v>
      </c>
      <c r="K942">
        <v>0.33</v>
      </c>
      <c r="L942">
        <f t="shared" si="21"/>
        <v>0.3165</v>
      </c>
      <c r="M942">
        <v>7</v>
      </c>
      <c r="N942">
        <v>94</v>
      </c>
      <c r="O942">
        <v>101</v>
      </c>
    </row>
    <row r="943" spans="1:15" x14ac:dyDescent="0.25">
      <c r="A943">
        <v>942</v>
      </c>
      <c r="B943" s="2">
        <v>40585</v>
      </c>
      <c r="C943">
        <v>1</v>
      </c>
      <c r="D943">
        <v>2</v>
      </c>
      <c r="E943">
        <v>20</v>
      </c>
      <c r="F943" t="b">
        <v>0</v>
      </c>
      <c r="G943">
        <v>5</v>
      </c>
      <c r="H943">
        <v>1</v>
      </c>
      <c r="I943">
        <v>0.22</v>
      </c>
      <c r="J943">
        <v>0.2273</v>
      </c>
      <c r="K943">
        <v>0.55000000000000004</v>
      </c>
      <c r="L943">
        <v>0.1343</v>
      </c>
      <c r="M943">
        <v>2</v>
      </c>
      <c r="N943">
        <v>61</v>
      </c>
      <c r="O943">
        <v>63</v>
      </c>
    </row>
    <row r="944" spans="1:15" x14ac:dyDescent="0.25">
      <c r="A944">
        <v>943</v>
      </c>
      <c r="B944" s="2">
        <v>40585</v>
      </c>
      <c r="C944">
        <v>1</v>
      </c>
      <c r="D944">
        <v>2</v>
      </c>
      <c r="E944">
        <v>21</v>
      </c>
      <c r="F944" t="b">
        <v>0</v>
      </c>
      <c r="G944">
        <v>5</v>
      </c>
      <c r="H944">
        <v>1</v>
      </c>
      <c r="I944">
        <v>0.2</v>
      </c>
      <c r="J944">
        <v>0.21210000000000001</v>
      </c>
      <c r="K944">
        <v>0.59</v>
      </c>
      <c r="L944">
        <v>0.1343</v>
      </c>
      <c r="M944">
        <v>1</v>
      </c>
      <c r="N944">
        <v>46</v>
      </c>
      <c r="O944">
        <v>47</v>
      </c>
    </row>
    <row r="945" spans="1:15" x14ac:dyDescent="0.25">
      <c r="A945">
        <v>944</v>
      </c>
      <c r="B945" s="2">
        <v>40585</v>
      </c>
      <c r="C945">
        <v>1</v>
      </c>
      <c r="D945">
        <v>2</v>
      </c>
      <c r="E945">
        <v>22</v>
      </c>
      <c r="F945" t="b">
        <v>0</v>
      </c>
      <c r="G945">
        <v>5</v>
      </c>
      <c r="H945">
        <v>1</v>
      </c>
      <c r="I945">
        <v>0.2</v>
      </c>
      <c r="J945">
        <v>0.2273</v>
      </c>
      <c r="K945">
        <v>0.64</v>
      </c>
      <c r="L945">
        <v>8.9599999999999999E-2</v>
      </c>
      <c r="M945">
        <v>2</v>
      </c>
      <c r="N945">
        <v>41</v>
      </c>
      <c r="O945">
        <v>43</v>
      </c>
    </row>
    <row r="946" spans="1:15" x14ac:dyDescent="0.25">
      <c r="A946">
        <v>945</v>
      </c>
      <c r="B946" s="2">
        <v>40585</v>
      </c>
      <c r="C946">
        <v>1</v>
      </c>
      <c r="D946">
        <v>2</v>
      </c>
      <c r="E946">
        <v>23</v>
      </c>
      <c r="F946" t="b">
        <v>0</v>
      </c>
      <c r="G946">
        <v>5</v>
      </c>
      <c r="H946">
        <v>1</v>
      </c>
      <c r="I946">
        <v>0.18</v>
      </c>
      <c r="J946">
        <v>0.2424</v>
      </c>
      <c r="K946">
        <v>0.69</v>
      </c>
      <c r="L946">
        <f t="shared" ref="L946" si="22">AVERAGE(J946:K946)</f>
        <v>0.46619999999999995</v>
      </c>
      <c r="M946">
        <v>5</v>
      </c>
      <c r="N946">
        <v>48</v>
      </c>
      <c r="O946">
        <v>53</v>
      </c>
    </row>
    <row r="947" spans="1:15" x14ac:dyDescent="0.25">
      <c r="A947">
        <v>946</v>
      </c>
      <c r="B947" s="2">
        <v>40586</v>
      </c>
      <c r="C947">
        <v>1</v>
      </c>
      <c r="D947">
        <v>2</v>
      </c>
      <c r="E947">
        <v>0</v>
      </c>
      <c r="F947" t="b">
        <v>0</v>
      </c>
      <c r="G947">
        <v>6</v>
      </c>
      <c r="H947">
        <v>1</v>
      </c>
      <c r="I947">
        <v>0.16</v>
      </c>
      <c r="J947">
        <v>0.19700000000000001</v>
      </c>
      <c r="K947">
        <v>0.69</v>
      </c>
      <c r="L947">
        <v>8.9599999999999999E-2</v>
      </c>
      <c r="M947">
        <v>3</v>
      </c>
      <c r="N947">
        <v>27</v>
      </c>
      <c r="O947">
        <v>30</v>
      </c>
    </row>
    <row r="948" spans="1:15" x14ac:dyDescent="0.25">
      <c r="A948">
        <v>947</v>
      </c>
      <c r="B948" s="2">
        <v>40586</v>
      </c>
      <c r="C948">
        <v>1</v>
      </c>
      <c r="D948">
        <v>2</v>
      </c>
      <c r="E948">
        <v>1</v>
      </c>
      <c r="F948" t="b">
        <v>0</v>
      </c>
      <c r="G948">
        <v>6</v>
      </c>
      <c r="H948">
        <v>1</v>
      </c>
      <c r="I948">
        <v>0.14000000000000001</v>
      </c>
      <c r="J948">
        <v>0.21210000000000001</v>
      </c>
      <c r="K948">
        <v>0.86</v>
      </c>
      <c r="L948">
        <f t="shared" ref="L948:L950" si="23">AVERAGE(J948:K948)</f>
        <v>0.53605000000000003</v>
      </c>
      <c r="M948">
        <v>2</v>
      </c>
      <c r="N948">
        <v>22</v>
      </c>
      <c r="O948">
        <v>24</v>
      </c>
    </row>
    <row r="949" spans="1:15" x14ac:dyDescent="0.25">
      <c r="A949">
        <v>948</v>
      </c>
      <c r="B949" s="2">
        <v>40586</v>
      </c>
      <c r="C949">
        <v>1</v>
      </c>
      <c r="D949">
        <v>2</v>
      </c>
      <c r="E949">
        <v>2</v>
      </c>
      <c r="F949" t="b">
        <v>0</v>
      </c>
      <c r="G949">
        <v>6</v>
      </c>
      <c r="H949">
        <v>1</v>
      </c>
      <c r="I949">
        <v>0.14000000000000001</v>
      </c>
      <c r="J949">
        <v>0.21210000000000001</v>
      </c>
      <c r="K949">
        <v>0.8</v>
      </c>
      <c r="L949">
        <f t="shared" si="23"/>
        <v>0.50605</v>
      </c>
      <c r="M949">
        <v>2</v>
      </c>
      <c r="N949">
        <v>13</v>
      </c>
      <c r="O949">
        <v>15</v>
      </c>
    </row>
    <row r="950" spans="1:15" x14ac:dyDescent="0.25">
      <c r="A950">
        <v>949</v>
      </c>
      <c r="B950" s="2">
        <v>40586</v>
      </c>
      <c r="C950">
        <v>1</v>
      </c>
      <c r="D950">
        <v>2</v>
      </c>
      <c r="E950">
        <v>3</v>
      </c>
      <c r="F950" t="b">
        <v>0</v>
      </c>
      <c r="G950">
        <v>6</v>
      </c>
      <c r="H950">
        <v>1</v>
      </c>
      <c r="I950">
        <v>0.12</v>
      </c>
      <c r="J950">
        <v>0.19700000000000001</v>
      </c>
      <c r="K950">
        <v>0.8</v>
      </c>
      <c r="L950">
        <f t="shared" si="23"/>
        <v>0.49850000000000005</v>
      </c>
      <c r="M950">
        <v>3</v>
      </c>
      <c r="N950">
        <v>7</v>
      </c>
      <c r="O950">
        <v>10</v>
      </c>
    </row>
    <row r="951" spans="1:15" x14ac:dyDescent="0.25">
      <c r="A951">
        <v>950</v>
      </c>
      <c r="B951" s="2">
        <v>40586</v>
      </c>
      <c r="C951">
        <v>1</v>
      </c>
      <c r="D951">
        <v>2</v>
      </c>
      <c r="E951">
        <v>4</v>
      </c>
      <c r="F951" t="b">
        <v>0</v>
      </c>
      <c r="G951">
        <v>6</v>
      </c>
      <c r="H951">
        <v>1</v>
      </c>
      <c r="I951">
        <v>0.12</v>
      </c>
      <c r="J951">
        <v>0.16669999999999999</v>
      </c>
      <c r="K951">
        <v>0.74</v>
      </c>
      <c r="L951">
        <v>8.9599999999999999E-2</v>
      </c>
      <c r="M951">
        <v>0</v>
      </c>
      <c r="N951">
        <v>4</v>
      </c>
      <c r="O951">
        <v>4</v>
      </c>
    </row>
    <row r="952" spans="1:15" x14ac:dyDescent="0.25">
      <c r="A952">
        <v>951</v>
      </c>
      <c r="B952" s="2">
        <v>40586</v>
      </c>
      <c r="C952">
        <v>1</v>
      </c>
      <c r="D952">
        <v>2</v>
      </c>
      <c r="E952">
        <v>5</v>
      </c>
      <c r="F952" t="b">
        <v>0</v>
      </c>
      <c r="G952">
        <v>6</v>
      </c>
      <c r="H952">
        <v>1</v>
      </c>
      <c r="I952">
        <v>0.12</v>
      </c>
      <c r="J952">
        <v>0.16669999999999999</v>
      </c>
      <c r="K952">
        <v>0.74</v>
      </c>
      <c r="L952">
        <v>8.9599999999999999E-2</v>
      </c>
      <c r="M952">
        <v>0</v>
      </c>
      <c r="N952">
        <v>1</v>
      </c>
      <c r="O952">
        <v>1</v>
      </c>
    </row>
    <row r="953" spans="1:15" x14ac:dyDescent="0.25">
      <c r="A953">
        <v>952</v>
      </c>
      <c r="B953" s="2">
        <v>40586</v>
      </c>
      <c r="C953">
        <v>1</v>
      </c>
      <c r="D953">
        <v>2</v>
      </c>
      <c r="E953">
        <v>6</v>
      </c>
      <c r="F953" t="b">
        <v>0</v>
      </c>
      <c r="G953">
        <v>6</v>
      </c>
      <c r="H953">
        <v>1</v>
      </c>
      <c r="I953">
        <v>0.12</v>
      </c>
      <c r="J953">
        <v>0.13639999999999999</v>
      </c>
      <c r="K953">
        <v>0.93</v>
      </c>
      <c r="L953">
        <v>0.19400000000000001</v>
      </c>
      <c r="M953">
        <v>1</v>
      </c>
      <c r="N953">
        <v>1</v>
      </c>
      <c r="O953">
        <v>2</v>
      </c>
    </row>
    <row r="954" spans="1:15" x14ac:dyDescent="0.25">
      <c r="A954">
        <v>953</v>
      </c>
      <c r="B954" s="2">
        <v>40586</v>
      </c>
      <c r="C954">
        <v>1</v>
      </c>
      <c r="D954">
        <v>2</v>
      </c>
      <c r="E954">
        <v>7</v>
      </c>
      <c r="F954" t="b">
        <v>0</v>
      </c>
      <c r="G954">
        <v>6</v>
      </c>
      <c r="H954">
        <v>1</v>
      </c>
      <c r="I954">
        <v>0.12</v>
      </c>
      <c r="J954">
        <v>0.1515</v>
      </c>
      <c r="K954">
        <v>0.8</v>
      </c>
      <c r="L954">
        <v>0.1045</v>
      </c>
      <c r="M954">
        <v>2</v>
      </c>
      <c r="N954">
        <v>9</v>
      </c>
      <c r="O954">
        <v>11</v>
      </c>
    </row>
    <row r="955" spans="1:15" x14ac:dyDescent="0.25">
      <c r="A955">
        <v>954</v>
      </c>
      <c r="B955" s="2">
        <v>40586</v>
      </c>
      <c r="C955">
        <v>1</v>
      </c>
      <c r="D955">
        <v>2</v>
      </c>
      <c r="E955">
        <v>8</v>
      </c>
      <c r="F955" t="b">
        <v>0</v>
      </c>
      <c r="G955">
        <v>6</v>
      </c>
      <c r="H955">
        <v>1</v>
      </c>
      <c r="I955">
        <v>0.14000000000000001</v>
      </c>
      <c r="J955">
        <v>0.1515</v>
      </c>
      <c r="K955">
        <v>0.86</v>
      </c>
      <c r="L955">
        <v>0.1343</v>
      </c>
      <c r="M955">
        <v>2</v>
      </c>
      <c r="N955">
        <v>28</v>
      </c>
      <c r="O955">
        <v>30</v>
      </c>
    </row>
    <row r="956" spans="1:15" x14ac:dyDescent="0.25">
      <c r="A956">
        <v>955</v>
      </c>
      <c r="B956" s="2">
        <v>40586</v>
      </c>
      <c r="C956">
        <v>1</v>
      </c>
      <c r="D956">
        <v>2</v>
      </c>
      <c r="E956">
        <v>9</v>
      </c>
      <c r="F956" t="b">
        <v>0</v>
      </c>
      <c r="G956">
        <v>6</v>
      </c>
      <c r="H956">
        <v>1</v>
      </c>
      <c r="I956">
        <v>0.16</v>
      </c>
      <c r="J956">
        <v>0.18179999999999999</v>
      </c>
      <c r="K956">
        <v>0.64</v>
      </c>
      <c r="L956">
        <v>0.1343</v>
      </c>
      <c r="M956">
        <v>5</v>
      </c>
      <c r="N956">
        <v>38</v>
      </c>
      <c r="O956">
        <v>43</v>
      </c>
    </row>
    <row r="957" spans="1:15" x14ac:dyDescent="0.25">
      <c r="A957">
        <v>956</v>
      </c>
      <c r="B957" s="2">
        <v>40586</v>
      </c>
      <c r="C957">
        <v>1</v>
      </c>
      <c r="D957">
        <v>2</v>
      </c>
      <c r="E957">
        <v>10</v>
      </c>
      <c r="F957" t="b">
        <v>0</v>
      </c>
      <c r="G957">
        <v>6</v>
      </c>
      <c r="H957">
        <v>1</v>
      </c>
      <c r="I957">
        <v>0.22</v>
      </c>
      <c r="J957">
        <v>0.21210000000000001</v>
      </c>
      <c r="K957">
        <v>0.41</v>
      </c>
      <c r="L957">
        <v>0.25369999999999998</v>
      </c>
      <c r="M957">
        <v>13</v>
      </c>
      <c r="N957">
        <v>71</v>
      </c>
      <c r="O957">
        <v>84</v>
      </c>
    </row>
    <row r="958" spans="1:15" x14ac:dyDescent="0.25">
      <c r="A958">
        <v>957</v>
      </c>
      <c r="B958" s="2">
        <v>40586</v>
      </c>
      <c r="C958">
        <v>1</v>
      </c>
      <c r="D958">
        <v>2</v>
      </c>
      <c r="E958">
        <v>11</v>
      </c>
      <c r="F958" t="b">
        <v>0</v>
      </c>
      <c r="G958">
        <v>6</v>
      </c>
      <c r="H958">
        <v>1</v>
      </c>
      <c r="I958">
        <v>0.3</v>
      </c>
      <c r="J958">
        <v>0.2727</v>
      </c>
      <c r="K958">
        <v>0.28000000000000003</v>
      </c>
      <c r="L958">
        <v>0.32840000000000003</v>
      </c>
      <c r="M958">
        <v>30</v>
      </c>
      <c r="N958">
        <v>84</v>
      </c>
      <c r="O958">
        <v>114</v>
      </c>
    </row>
    <row r="959" spans="1:15" x14ac:dyDescent="0.25">
      <c r="A959">
        <v>958</v>
      </c>
      <c r="B959" s="2">
        <v>40586</v>
      </c>
      <c r="C959">
        <v>1</v>
      </c>
      <c r="D959">
        <v>2</v>
      </c>
      <c r="E959">
        <v>12</v>
      </c>
      <c r="F959" t="b">
        <v>0</v>
      </c>
      <c r="G959">
        <v>6</v>
      </c>
      <c r="H959">
        <v>1</v>
      </c>
      <c r="I959">
        <v>0.3</v>
      </c>
      <c r="J959">
        <v>0.2727</v>
      </c>
      <c r="K959">
        <v>0.39</v>
      </c>
      <c r="L959">
        <v>0.4627</v>
      </c>
      <c r="M959">
        <v>27</v>
      </c>
      <c r="N959">
        <v>93</v>
      </c>
      <c r="O959">
        <v>120</v>
      </c>
    </row>
    <row r="960" spans="1:15" x14ac:dyDescent="0.25">
      <c r="A960">
        <v>959</v>
      </c>
      <c r="B960" s="2">
        <v>40586</v>
      </c>
      <c r="C960">
        <v>1</v>
      </c>
      <c r="D960">
        <v>2</v>
      </c>
      <c r="E960">
        <v>13</v>
      </c>
      <c r="F960" t="b">
        <v>0</v>
      </c>
      <c r="G960">
        <v>6</v>
      </c>
      <c r="H960">
        <v>1</v>
      </c>
      <c r="I960">
        <v>0.3</v>
      </c>
      <c r="J960">
        <v>0.2727</v>
      </c>
      <c r="K960">
        <v>0.39</v>
      </c>
      <c r="L960">
        <v>0.41789999999999999</v>
      </c>
      <c r="M960">
        <v>32</v>
      </c>
      <c r="N960">
        <v>103</v>
      </c>
      <c r="O960">
        <v>135</v>
      </c>
    </row>
    <row r="961" spans="1:15" x14ac:dyDescent="0.25">
      <c r="A961">
        <v>960</v>
      </c>
      <c r="B961" s="2">
        <v>40586</v>
      </c>
      <c r="C961">
        <v>1</v>
      </c>
      <c r="D961">
        <v>2</v>
      </c>
      <c r="E961">
        <v>14</v>
      </c>
      <c r="F961" t="b">
        <v>0</v>
      </c>
      <c r="G961">
        <v>6</v>
      </c>
      <c r="H961">
        <v>1</v>
      </c>
      <c r="I961">
        <v>0.34</v>
      </c>
      <c r="J961">
        <v>0.31819999999999998</v>
      </c>
      <c r="K961">
        <v>0.31</v>
      </c>
      <c r="L961">
        <v>0.28360000000000002</v>
      </c>
      <c r="M961">
        <v>30</v>
      </c>
      <c r="N961">
        <v>90</v>
      </c>
      <c r="O961">
        <v>120</v>
      </c>
    </row>
    <row r="962" spans="1:15" x14ac:dyDescent="0.25">
      <c r="A962">
        <v>961</v>
      </c>
      <c r="B962" s="2">
        <v>40586</v>
      </c>
      <c r="C962">
        <v>1</v>
      </c>
      <c r="D962">
        <v>2</v>
      </c>
      <c r="E962">
        <v>15</v>
      </c>
      <c r="F962" t="b">
        <v>0</v>
      </c>
      <c r="G962">
        <v>6</v>
      </c>
      <c r="H962">
        <v>1</v>
      </c>
      <c r="I962">
        <v>0.34</v>
      </c>
      <c r="J962">
        <v>0.30299999999999999</v>
      </c>
      <c r="K962">
        <v>0.28999999999999998</v>
      </c>
      <c r="L962">
        <v>0.41789999999999999</v>
      </c>
      <c r="M962">
        <v>47</v>
      </c>
      <c r="N962">
        <v>127</v>
      </c>
      <c r="O962">
        <v>174</v>
      </c>
    </row>
    <row r="963" spans="1:15" x14ac:dyDescent="0.25">
      <c r="A963">
        <v>962</v>
      </c>
      <c r="B963" s="2">
        <v>40586</v>
      </c>
      <c r="C963">
        <v>1</v>
      </c>
      <c r="D963">
        <v>2</v>
      </c>
      <c r="E963">
        <v>16</v>
      </c>
      <c r="F963" t="b">
        <v>0</v>
      </c>
      <c r="G963">
        <v>6</v>
      </c>
      <c r="H963">
        <v>1</v>
      </c>
      <c r="I963">
        <v>0.34</v>
      </c>
      <c r="J963">
        <v>0.30299999999999999</v>
      </c>
      <c r="K963">
        <v>0.28999999999999998</v>
      </c>
      <c r="L963">
        <v>0.41789999999999999</v>
      </c>
      <c r="M963">
        <v>42</v>
      </c>
      <c r="N963">
        <v>103</v>
      </c>
      <c r="O963">
        <v>145</v>
      </c>
    </row>
    <row r="964" spans="1:15" x14ac:dyDescent="0.25">
      <c r="A964">
        <v>963</v>
      </c>
      <c r="B964" s="2">
        <v>40586</v>
      </c>
      <c r="C964">
        <v>1</v>
      </c>
      <c r="D964">
        <v>2</v>
      </c>
      <c r="E964">
        <v>17</v>
      </c>
      <c r="F964" t="b">
        <v>0</v>
      </c>
      <c r="G964">
        <v>6</v>
      </c>
      <c r="H964">
        <v>1</v>
      </c>
      <c r="I964">
        <v>0.32</v>
      </c>
      <c r="J964">
        <v>0.28789999999999999</v>
      </c>
      <c r="K964">
        <v>0.31</v>
      </c>
      <c r="L964">
        <v>0.52239999999999998</v>
      </c>
      <c r="M964">
        <v>24</v>
      </c>
      <c r="N964">
        <v>113</v>
      </c>
      <c r="O964">
        <v>137</v>
      </c>
    </row>
    <row r="965" spans="1:15" x14ac:dyDescent="0.25">
      <c r="A965">
        <v>964</v>
      </c>
      <c r="B965" s="2">
        <v>40586</v>
      </c>
      <c r="C965">
        <v>1</v>
      </c>
      <c r="D965">
        <v>2</v>
      </c>
      <c r="E965">
        <v>18</v>
      </c>
      <c r="F965" t="b">
        <v>0</v>
      </c>
      <c r="G965">
        <v>6</v>
      </c>
      <c r="H965">
        <v>1</v>
      </c>
      <c r="I965">
        <v>0.28000000000000003</v>
      </c>
      <c r="J965">
        <v>0.2576</v>
      </c>
      <c r="K965">
        <v>0.38</v>
      </c>
      <c r="L965">
        <v>0.32840000000000003</v>
      </c>
      <c r="M965">
        <v>4</v>
      </c>
      <c r="N965">
        <v>60</v>
      </c>
      <c r="O965">
        <v>64</v>
      </c>
    </row>
    <row r="966" spans="1:15" x14ac:dyDescent="0.25">
      <c r="A966">
        <v>965</v>
      </c>
      <c r="B966" s="2">
        <v>40586</v>
      </c>
      <c r="C966">
        <v>1</v>
      </c>
      <c r="D966">
        <v>2</v>
      </c>
      <c r="E966">
        <v>19</v>
      </c>
      <c r="F966" t="b">
        <v>0</v>
      </c>
      <c r="G966">
        <v>6</v>
      </c>
      <c r="H966">
        <v>1</v>
      </c>
      <c r="I966">
        <v>0.28000000000000003</v>
      </c>
      <c r="J966">
        <v>0.2727</v>
      </c>
      <c r="K966">
        <v>0.38</v>
      </c>
      <c r="L966">
        <v>0.16420000000000001</v>
      </c>
      <c r="M966">
        <v>2</v>
      </c>
      <c r="N966">
        <v>39</v>
      </c>
      <c r="O966">
        <v>41</v>
      </c>
    </row>
    <row r="967" spans="1:15" x14ac:dyDescent="0.25">
      <c r="A967">
        <v>966</v>
      </c>
      <c r="B967" s="2">
        <v>40586</v>
      </c>
      <c r="C967">
        <v>1</v>
      </c>
      <c r="D967">
        <v>2</v>
      </c>
      <c r="E967">
        <v>20</v>
      </c>
      <c r="F967" t="b">
        <v>0</v>
      </c>
      <c r="G967">
        <v>6</v>
      </c>
      <c r="H967">
        <v>1</v>
      </c>
      <c r="I967">
        <v>0.26</v>
      </c>
      <c r="J967">
        <v>0.2576</v>
      </c>
      <c r="K967">
        <v>0.41</v>
      </c>
      <c r="L967">
        <v>0.22389999999999999</v>
      </c>
      <c r="M967">
        <v>1</v>
      </c>
      <c r="N967">
        <v>39</v>
      </c>
      <c r="O967">
        <v>40</v>
      </c>
    </row>
    <row r="968" spans="1:15" x14ac:dyDescent="0.25">
      <c r="A968">
        <v>967</v>
      </c>
      <c r="B968" s="2">
        <v>40586</v>
      </c>
      <c r="C968">
        <v>1</v>
      </c>
      <c r="D968">
        <v>2</v>
      </c>
      <c r="E968">
        <v>21</v>
      </c>
      <c r="F968" t="b">
        <v>0</v>
      </c>
      <c r="G968">
        <v>6</v>
      </c>
      <c r="H968">
        <v>1</v>
      </c>
      <c r="I968">
        <v>0.26</v>
      </c>
      <c r="J968">
        <v>0.30299999999999999</v>
      </c>
      <c r="K968">
        <v>0.41</v>
      </c>
      <c r="L968">
        <f t="shared" ref="L968" si="24">AVERAGE(J968:K968)</f>
        <v>0.35649999999999998</v>
      </c>
      <c r="M968">
        <v>9</v>
      </c>
      <c r="N968">
        <v>42</v>
      </c>
      <c r="O968">
        <v>51</v>
      </c>
    </row>
    <row r="969" spans="1:15" x14ac:dyDescent="0.25">
      <c r="A969">
        <v>968</v>
      </c>
      <c r="B969" s="2">
        <v>40586</v>
      </c>
      <c r="C969">
        <v>1</v>
      </c>
      <c r="D969">
        <v>2</v>
      </c>
      <c r="E969">
        <v>22</v>
      </c>
      <c r="F969" t="b">
        <v>0</v>
      </c>
      <c r="G969">
        <v>6</v>
      </c>
      <c r="H969">
        <v>1</v>
      </c>
      <c r="I969">
        <v>0.24</v>
      </c>
      <c r="J969">
        <v>0.2576</v>
      </c>
      <c r="K969">
        <v>0.44</v>
      </c>
      <c r="L969">
        <v>8.9599999999999999E-2</v>
      </c>
      <c r="M969">
        <v>6</v>
      </c>
      <c r="N969">
        <v>39</v>
      </c>
      <c r="O969">
        <v>45</v>
      </c>
    </row>
    <row r="970" spans="1:15" x14ac:dyDescent="0.25">
      <c r="A970">
        <v>969</v>
      </c>
      <c r="B970" s="2">
        <v>40586</v>
      </c>
      <c r="C970">
        <v>1</v>
      </c>
      <c r="D970">
        <v>2</v>
      </c>
      <c r="E970">
        <v>23</v>
      </c>
      <c r="F970" t="b">
        <v>0</v>
      </c>
      <c r="G970">
        <v>6</v>
      </c>
      <c r="H970">
        <v>1</v>
      </c>
      <c r="I970">
        <v>0.22</v>
      </c>
      <c r="J970">
        <v>0.2273</v>
      </c>
      <c r="K970">
        <v>0.51</v>
      </c>
      <c r="L970">
        <v>0.1343</v>
      </c>
      <c r="M970">
        <v>1</v>
      </c>
      <c r="N970">
        <v>31</v>
      </c>
      <c r="O970">
        <v>32</v>
      </c>
    </row>
    <row r="971" spans="1:15" x14ac:dyDescent="0.25">
      <c r="A971">
        <v>970</v>
      </c>
      <c r="B971" s="2">
        <v>40587</v>
      </c>
      <c r="C971">
        <v>1</v>
      </c>
      <c r="D971">
        <v>2</v>
      </c>
      <c r="E971">
        <v>0</v>
      </c>
      <c r="F971" t="b">
        <v>0</v>
      </c>
      <c r="G971">
        <v>0</v>
      </c>
      <c r="H971">
        <v>1</v>
      </c>
      <c r="I971">
        <v>0.2</v>
      </c>
      <c r="J971">
        <v>0.2273</v>
      </c>
      <c r="K971">
        <v>0.64</v>
      </c>
      <c r="L971">
        <v>0.1045</v>
      </c>
      <c r="M971">
        <v>5</v>
      </c>
      <c r="N971">
        <v>34</v>
      </c>
      <c r="O971">
        <v>39</v>
      </c>
    </row>
    <row r="972" spans="1:15" x14ac:dyDescent="0.25">
      <c r="A972">
        <v>971</v>
      </c>
      <c r="B972" s="2">
        <v>40587</v>
      </c>
      <c r="C972">
        <v>1</v>
      </c>
      <c r="D972">
        <v>2</v>
      </c>
      <c r="E972">
        <v>1</v>
      </c>
      <c r="F972" t="b">
        <v>0</v>
      </c>
      <c r="G972">
        <v>0</v>
      </c>
      <c r="H972">
        <v>1</v>
      </c>
      <c r="I972">
        <v>0.2</v>
      </c>
      <c r="J972">
        <v>0.2273</v>
      </c>
      <c r="K972">
        <v>0.59</v>
      </c>
      <c r="L972">
        <v>8.9599999999999999E-2</v>
      </c>
      <c r="M972">
        <v>1</v>
      </c>
      <c r="N972">
        <v>23</v>
      </c>
      <c r="O972">
        <v>24</v>
      </c>
    </row>
    <row r="973" spans="1:15" x14ac:dyDescent="0.25">
      <c r="A973">
        <v>972</v>
      </c>
      <c r="B973" s="2">
        <v>40587</v>
      </c>
      <c r="C973">
        <v>1</v>
      </c>
      <c r="D973">
        <v>2</v>
      </c>
      <c r="E973">
        <v>2</v>
      </c>
      <c r="F973" t="b">
        <v>0</v>
      </c>
      <c r="G973">
        <v>0</v>
      </c>
      <c r="H973">
        <v>2</v>
      </c>
      <c r="I973">
        <v>0.2</v>
      </c>
      <c r="J973">
        <v>0.2273</v>
      </c>
      <c r="K973">
        <v>0.75</v>
      </c>
      <c r="L973">
        <v>8.9599999999999999E-2</v>
      </c>
      <c r="M973">
        <v>1</v>
      </c>
      <c r="N973">
        <v>19</v>
      </c>
      <c r="O973">
        <v>20</v>
      </c>
    </row>
    <row r="974" spans="1:15" x14ac:dyDescent="0.25">
      <c r="A974">
        <v>973</v>
      </c>
      <c r="B974" s="2">
        <v>40587</v>
      </c>
      <c r="C974">
        <v>1</v>
      </c>
      <c r="D974">
        <v>2</v>
      </c>
      <c r="E974">
        <v>3</v>
      </c>
      <c r="F974" t="b">
        <v>0</v>
      </c>
      <c r="G974">
        <v>0</v>
      </c>
      <c r="H974">
        <v>2</v>
      </c>
      <c r="I974">
        <v>0.2</v>
      </c>
      <c r="J974">
        <v>0.2273</v>
      </c>
      <c r="K974">
        <v>0.69</v>
      </c>
      <c r="L974">
        <v>0.1045</v>
      </c>
      <c r="M974">
        <v>4</v>
      </c>
      <c r="N974">
        <v>8</v>
      </c>
      <c r="O974">
        <v>12</v>
      </c>
    </row>
    <row r="975" spans="1:15" x14ac:dyDescent="0.25">
      <c r="A975">
        <v>974</v>
      </c>
      <c r="B975" s="2">
        <v>40587</v>
      </c>
      <c r="C975">
        <v>1</v>
      </c>
      <c r="D975">
        <v>2</v>
      </c>
      <c r="E975">
        <v>4</v>
      </c>
      <c r="F975" t="b">
        <v>0</v>
      </c>
      <c r="G975">
        <v>0</v>
      </c>
      <c r="H975">
        <v>2</v>
      </c>
      <c r="I975">
        <v>0.2</v>
      </c>
      <c r="J975">
        <v>0.21210000000000001</v>
      </c>
      <c r="K975">
        <v>0.69</v>
      </c>
      <c r="L975">
        <v>0.16420000000000001</v>
      </c>
      <c r="M975">
        <v>0</v>
      </c>
      <c r="N975">
        <v>2</v>
      </c>
      <c r="O975">
        <v>2</v>
      </c>
    </row>
    <row r="976" spans="1:15" x14ac:dyDescent="0.25">
      <c r="A976">
        <v>975</v>
      </c>
      <c r="B976" s="2">
        <v>40587</v>
      </c>
      <c r="C976">
        <v>1</v>
      </c>
      <c r="D976">
        <v>2</v>
      </c>
      <c r="E976">
        <v>6</v>
      </c>
      <c r="F976" t="b">
        <v>0</v>
      </c>
      <c r="G976">
        <v>0</v>
      </c>
      <c r="H976">
        <v>2</v>
      </c>
      <c r="I976">
        <v>0.2</v>
      </c>
      <c r="J976">
        <v>0.21210000000000001</v>
      </c>
      <c r="K976">
        <v>0.69</v>
      </c>
      <c r="L976">
        <v>0.1343</v>
      </c>
      <c r="M976">
        <v>2</v>
      </c>
      <c r="N976">
        <v>3</v>
      </c>
      <c r="O976">
        <v>5</v>
      </c>
    </row>
    <row r="977" spans="1:15" x14ac:dyDescent="0.25">
      <c r="A977">
        <v>976</v>
      </c>
      <c r="B977" s="2">
        <v>40587</v>
      </c>
      <c r="C977">
        <v>1</v>
      </c>
      <c r="D977">
        <v>2</v>
      </c>
      <c r="E977">
        <v>7</v>
      </c>
      <c r="F977" t="b">
        <v>0</v>
      </c>
      <c r="G977">
        <v>0</v>
      </c>
      <c r="H977">
        <v>2</v>
      </c>
      <c r="I977">
        <v>0.22</v>
      </c>
      <c r="J977">
        <v>0.2727</v>
      </c>
      <c r="K977">
        <v>0.55000000000000004</v>
      </c>
      <c r="L977">
        <f t="shared" ref="L977" si="25">AVERAGE(J977:K977)</f>
        <v>0.41134999999999999</v>
      </c>
      <c r="M977">
        <v>0</v>
      </c>
      <c r="N977">
        <v>3</v>
      </c>
      <c r="O977">
        <v>3</v>
      </c>
    </row>
    <row r="978" spans="1:15" x14ac:dyDescent="0.25">
      <c r="A978">
        <v>977</v>
      </c>
      <c r="B978" s="2">
        <v>40587</v>
      </c>
      <c r="C978">
        <v>1</v>
      </c>
      <c r="D978">
        <v>2</v>
      </c>
      <c r="E978">
        <v>8</v>
      </c>
      <c r="F978" t="b">
        <v>0</v>
      </c>
      <c r="G978">
        <v>0</v>
      </c>
      <c r="H978">
        <v>2</v>
      </c>
      <c r="I978">
        <v>0.22</v>
      </c>
      <c r="J978">
        <v>0.2273</v>
      </c>
      <c r="K978">
        <v>0.64</v>
      </c>
      <c r="L978">
        <v>0.19400000000000001</v>
      </c>
      <c r="M978">
        <v>1</v>
      </c>
      <c r="N978">
        <v>11</v>
      </c>
      <c r="O978">
        <v>12</v>
      </c>
    </row>
    <row r="979" spans="1:15" x14ac:dyDescent="0.25">
      <c r="A979">
        <v>978</v>
      </c>
      <c r="B979" s="2">
        <v>40587</v>
      </c>
      <c r="C979">
        <v>1</v>
      </c>
      <c r="D979">
        <v>2</v>
      </c>
      <c r="E979">
        <v>9</v>
      </c>
      <c r="F979" t="b">
        <v>0</v>
      </c>
      <c r="G979">
        <v>0</v>
      </c>
      <c r="H979">
        <v>2</v>
      </c>
      <c r="I979">
        <v>0.24</v>
      </c>
      <c r="J979">
        <v>0.2273</v>
      </c>
      <c r="K979">
        <v>0.6</v>
      </c>
      <c r="L979">
        <v>0.22389999999999999</v>
      </c>
      <c r="M979">
        <v>12</v>
      </c>
      <c r="N979">
        <v>35</v>
      </c>
      <c r="O979">
        <v>47</v>
      </c>
    </row>
    <row r="980" spans="1:15" x14ac:dyDescent="0.25">
      <c r="A980">
        <v>979</v>
      </c>
      <c r="B980" s="2">
        <v>40587</v>
      </c>
      <c r="C980">
        <v>1</v>
      </c>
      <c r="D980">
        <v>2</v>
      </c>
      <c r="E980">
        <v>10</v>
      </c>
      <c r="F980" t="b">
        <v>0</v>
      </c>
      <c r="G980">
        <v>0</v>
      </c>
      <c r="H980">
        <v>1</v>
      </c>
      <c r="I980">
        <v>0.3</v>
      </c>
      <c r="J980">
        <v>0.2727</v>
      </c>
      <c r="K980">
        <v>0.45</v>
      </c>
      <c r="L980">
        <v>0.32840000000000003</v>
      </c>
      <c r="M980">
        <v>19</v>
      </c>
      <c r="N980">
        <v>86</v>
      </c>
      <c r="O980">
        <v>105</v>
      </c>
    </row>
    <row r="981" spans="1:15" x14ac:dyDescent="0.25">
      <c r="A981">
        <v>980</v>
      </c>
      <c r="B981" s="2">
        <v>40587</v>
      </c>
      <c r="C981">
        <v>1</v>
      </c>
      <c r="D981">
        <v>2</v>
      </c>
      <c r="E981">
        <v>11</v>
      </c>
      <c r="F981" t="b">
        <v>0</v>
      </c>
      <c r="G981">
        <v>0</v>
      </c>
      <c r="H981">
        <v>1</v>
      </c>
      <c r="I981">
        <v>0.32</v>
      </c>
      <c r="J981">
        <v>0.28789999999999999</v>
      </c>
      <c r="K981">
        <v>0.39</v>
      </c>
      <c r="L981">
        <v>0.44779999999999998</v>
      </c>
      <c r="M981">
        <v>26</v>
      </c>
      <c r="N981">
        <v>86</v>
      </c>
      <c r="O981">
        <v>112</v>
      </c>
    </row>
    <row r="982" spans="1:15" x14ac:dyDescent="0.25">
      <c r="A982">
        <v>981</v>
      </c>
      <c r="B982" s="2">
        <v>40587</v>
      </c>
      <c r="C982">
        <v>1</v>
      </c>
      <c r="D982">
        <v>2</v>
      </c>
      <c r="E982">
        <v>12</v>
      </c>
      <c r="F982" t="b">
        <v>0</v>
      </c>
      <c r="G982">
        <v>0</v>
      </c>
      <c r="H982">
        <v>1</v>
      </c>
      <c r="I982">
        <v>0.36</v>
      </c>
      <c r="J982">
        <v>0.31819999999999998</v>
      </c>
      <c r="K982">
        <v>0.32</v>
      </c>
      <c r="L982">
        <v>0.4627</v>
      </c>
      <c r="M982">
        <v>58</v>
      </c>
      <c r="N982">
        <v>94</v>
      </c>
      <c r="O982">
        <v>152</v>
      </c>
    </row>
    <row r="983" spans="1:15" x14ac:dyDescent="0.25">
      <c r="A983">
        <v>982</v>
      </c>
      <c r="B983" s="2">
        <v>40587</v>
      </c>
      <c r="C983">
        <v>1</v>
      </c>
      <c r="D983">
        <v>2</v>
      </c>
      <c r="E983">
        <v>13</v>
      </c>
      <c r="F983" t="b">
        <v>0</v>
      </c>
      <c r="G983">
        <v>0</v>
      </c>
      <c r="H983">
        <v>1</v>
      </c>
      <c r="I983">
        <v>0.38</v>
      </c>
      <c r="J983">
        <v>0.39389999999999997</v>
      </c>
      <c r="K983">
        <v>0.28999999999999998</v>
      </c>
      <c r="L983">
        <v>0.35820000000000002</v>
      </c>
      <c r="M983">
        <v>62</v>
      </c>
      <c r="N983">
        <v>92</v>
      </c>
      <c r="O983">
        <v>154</v>
      </c>
    </row>
    <row r="984" spans="1:15" x14ac:dyDescent="0.25">
      <c r="A984">
        <v>983</v>
      </c>
      <c r="B984" s="2">
        <v>40587</v>
      </c>
      <c r="C984">
        <v>1</v>
      </c>
      <c r="D984">
        <v>2</v>
      </c>
      <c r="E984">
        <v>14</v>
      </c>
      <c r="F984" t="b">
        <v>0</v>
      </c>
      <c r="G984">
        <v>0</v>
      </c>
      <c r="H984">
        <v>2</v>
      </c>
      <c r="I984">
        <v>0.4</v>
      </c>
      <c r="J984">
        <v>0.40910000000000002</v>
      </c>
      <c r="K984">
        <v>0.3</v>
      </c>
      <c r="L984">
        <v>0.41789999999999999</v>
      </c>
      <c r="M984">
        <v>51</v>
      </c>
      <c r="N984">
        <v>110</v>
      </c>
      <c r="O984">
        <v>161</v>
      </c>
    </row>
    <row r="985" spans="1:15" x14ac:dyDescent="0.25">
      <c r="A985">
        <v>984</v>
      </c>
      <c r="B985" s="2">
        <v>40587</v>
      </c>
      <c r="C985">
        <v>1</v>
      </c>
      <c r="D985">
        <v>2</v>
      </c>
      <c r="E985">
        <v>15</v>
      </c>
      <c r="F985" t="b">
        <v>0</v>
      </c>
      <c r="G985">
        <v>0</v>
      </c>
      <c r="H985">
        <v>2</v>
      </c>
      <c r="I985">
        <v>0.4</v>
      </c>
      <c r="J985">
        <v>0.40910000000000002</v>
      </c>
      <c r="K985">
        <v>0.3</v>
      </c>
      <c r="L985">
        <v>0.29849999999999999</v>
      </c>
      <c r="M985">
        <v>40</v>
      </c>
      <c r="N985">
        <v>122</v>
      </c>
      <c r="O985">
        <v>162</v>
      </c>
    </row>
    <row r="986" spans="1:15" x14ac:dyDescent="0.25">
      <c r="A986">
        <v>985</v>
      </c>
      <c r="B986" s="2">
        <v>40587</v>
      </c>
      <c r="C986">
        <v>1</v>
      </c>
      <c r="D986">
        <v>2</v>
      </c>
      <c r="E986">
        <v>16</v>
      </c>
      <c r="F986" t="b">
        <v>0</v>
      </c>
      <c r="G986">
        <v>0</v>
      </c>
      <c r="H986">
        <v>2</v>
      </c>
      <c r="I986">
        <v>0.42</v>
      </c>
      <c r="J986">
        <v>0.42420000000000002</v>
      </c>
      <c r="K986">
        <v>0.28000000000000003</v>
      </c>
      <c r="L986">
        <v>0.32840000000000003</v>
      </c>
      <c r="M986">
        <v>28</v>
      </c>
      <c r="N986">
        <v>106</v>
      </c>
      <c r="O986">
        <v>134</v>
      </c>
    </row>
    <row r="987" spans="1:15" x14ac:dyDescent="0.25">
      <c r="A987">
        <v>986</v>
      </c>
      <c r="B987" s="2">
        <v>40587</v>
      </c>
      <c r="C987">
        <v>1</v>
      </c>
      <c r="D987">
        <v>2</v>
      </c>
      <c r="E987">
        <v>17</v>
      </c>
      <c r="F987" t="b">
        <v>0</v>
      </c>
      <c r="G987">
        <v>0</v>
      </c>
      <c r="H987">
        <v>1</v>
      </c>
      <c r="I987">
        <v>0.42</v>
      </c>
      <c r="J987">
        <v>0.42420000000000002</v>
      </c>
      <c r="K987">
        <v>0.28000000000000003</v>
      </c>
      <c r="L987">
        <v>0.32840000000000003</v>
      </c>
      <c r="M987">
        <v>30</v>
      </c>
      <c r="N987">
        <v>95</v>
      </c>
      <c r="O987">
        <v>125</v>
      </c>
    </row>
    <row r="988" spans="1:15" x14ac:dyDescent="0.25">
      <c r="A988">
        <v>987</v>
      </c>
      <c r="B988" s="2">
        <v>40587</v>
      </c>
      <c r="C988">
        <v>1</v>
      </c>
      <c r="D988">
        <v>2</v>
      </c>
      <c r="E988">
        <v>18</v>
      </c>
      <c r="F988" t="b">
        <v>0</v>
      </c>
      <c r="G988">
        <v>0</v>
      </c>
      <c r="H988">
        <v>1</v>
      </c>
      <c r="I988">
        <v>0.4</v>
      </c>
      <c r="J988">
        <v>0.40910000000000002</v>
      </c>
      <c r="K988">
        <v>0.32</v>
      </c>
      <c r="L988">
        <v>0.29849999999999999</v>
      </c>
      <c r="M988">
        <v>17</v>
      </c>
      <c r="N988">
        <v>78</v>
      </c>
      <c r="O988">
        <v>95</v>
      </c>
    </row>
    <row r="989" spans="1:15" x14ac:dyDescent="0.25">
      <c r="A989">
        <v>988</v>
      </c>
      <c r="B989" s="2">
        <v>40587</v>
      </c>
      <c r="C989">
        <v>1</v>
      </c>
      <c r="D989">
        <v>2</v>
      </c>
      <c r="E989">
        <v>19</v>
      </c>
      <c r="F989" t="b">
        <v>0</v>
      </c>
      <c r="G989">
        <v>0</v>
      </c>
      <c r="H989">
        <v>1</v>
      </c>
      <c r="I989">
        <v>0.4</v>
      </c>
      <c r="J989">
        <v>0.40910000000000002</v>
      </c>
      <c r="K989">
        <v>0.35</v>
      </c>
      <c r="L989">
        <v>0.28360000000000002</v>
      </c>
      <c r="M989">
        <v>11</v>
      </c>
      <c r="N989">
        <v>50</v>
      </c>
      <c r="O989">
        <v>61</v>
      </c>
    </row>
    <row r="990" spans="1:15" x14ac:dyDescent="0.25">
      <c r="A990">
        <v>989</v>
      </c>
      <c r="B990" s="2">
        <v>40587</v>
      </c>
      <c r="C990">
        <v>1</v>
      </c>
      <c r="D990">
        <v>2</v>
      </c>
      <c r="E990">
        <v>20</v>
      </c>
      <c r="F990" t="b">
        <v>0</v>
      </c>
      <c r="G990">
        <v>0</v>
      </c>
      <c r="H990">
        <v>1</v>
      </c>
      <c r="I990">
        <v>0.4</v>
      </c>
      <c r="J990">
        <v>0.40910000000000002</v>
      </c>
      <c r="K990">
        <v>0.35</v>
      </c>
      <c r="L990">
        <v>0.32840000000000003</v>
      </c>
      <c r="M990">
        <v>15</v>
      </c>
      <c r="N990">
        <v>32</v>
      </c>
      <c r="O990">
        <v>47</v>
      </c>
    </row>
    <row r="991" spans="1:15" x14ac:dyDescent="0.25">
      <c r="A991">
        <v>990</v>
      </c>
      <c r="B991" s="2">
        <v>40587</v>
      </c>
      <c r="C991">
        <v>1</v>
      </c>
      <c r="D991">
        <v>2</v>
      </c>
      <c r="E991">
        <v>21</v>
      </c>
      <c r="F991" t="b">
        <v>0</v>
      </c>
      <c r="G991">
        <v>0</v>
      </c>
      <c r="H991">
        <v>1</v>
      </c>
      <c r="I991">
        <v>0.4</v>
      </c>
      <c r="J991">
        <v>0.40910000000000002</v>
      </c>
      <c r="K991">
        <v>0.35</v>
      </c>
      <c r="L991">
        <v>0.35820000000000002</v>
      </c>
      <c r="M991">
        <v>6</v>
      </c>
      <c r="N991">
        <v>45</v>
      </c>
      <c r="O991">
        <v>51</v>
      </c>
    </row>
    <row r="992" spans="1:15" x14ac:dyDescent="0.25">
      <c r="A992">
        <v>991</v>
      </c>
      <c r="B992" s="2">
        <v>40587</v>
      </c>
      <c r="C992">
        <v>1</v>
      </c>
      <c r="D992">
        <v>2</v>
      </c>
      <c r="E992">
        <v>22</v>
      </c>
      <c r="F992" t="b">
        <v>0</v>
      </c>
      <c r="G992">
        <v>0</v>
      </c>
      <c r="H992">
        <v>1</v>
      </c>
      <c r="I992">
        <v>0.4</v>
      </c>
      <c r="J992">
        <v>0.40910000000000002</v>
      </c>
      <c r="K992">
        <v>0.35</v>
      </c>
      <c r="L992">
        <v>0.29849999999999999</v>
      </c>
      <c r="M992">
        <v>5</v>
      </c>
      <c r="N992">
        <v>31</v>
      </c>
      <c r="O992">
        <v>36</v>
      </c>
    </row>
    <row r="993" spans="1:15" x14ac:dyDescent="0.25">
      <c r="A993">
        <v>992</v>
      </c>
      <c r="B993" s="2">
        <v>40587</v>
      </c>
      <c r="C993">
        <v>1</v>
      </c>
      <c r="D993">
        <v>2</v>
      </c>
      <c r="E993">
        <v>23</v>
      </c>
      <c r="F993" t="b">
        <v>0</v>
      </c>
      <c r="G993">
        <v>0</v>
      </c>
      <c r="H993">
        <v>1</v>
      </c>
      <c r="I993">
        <v>0.4</v>
      </c>
      <c r="J993">
        <v>0.40910000000000002</v>
      </c>
      <c r="K993">
        <v>0.35</v>
      </c>
      <c r="L993">
        <v>0.35820000000000002</v>
      </c>
      <c r="M993">
        <v>3</v>
      </c>
      <c r="N993">
        <v>27</v>
      </c>
      <c r="O993">
        <v>30</v>
      </c>
    </row>
    <row r="994" spans="1:15" x14ac:dyDescent="0.25">
      <c r="A994">
        <v>993</v>
      </c>
      <c r="B994" s="2">
        <v>40588</v>
      </c>
      <c r="C994">
        <v>1</v>
      </c>
      <c r="D994">
        <v>2</v>
      </c>
      <c r="E994">
        <v>0</v>
      </c>
      <c r="F994" t="b">
        <v>0</v>
      </c>
      <c r="G994">
        <v>1</v>
      </c>
      <c r="H994">
        <v>1</v>
      </c>
      <c r="I994">
        <v>0.38</v>
      </c>
      <c r="J994">
        <v>0.39389999999999997</v>
      </c>
      <c r="K994">
        <v>0.37</v>
      </c>
      <c r="L994">
        <v>0.35820000000000002</v>
      </c>
      <c r="M994">
        <v>3</v>
      </c>
      <c r="N994">
        <v>8</v>
      </c>
      <c r="O994">
        <v>11</v>
      </c>
    </row>
    <row r="995" spans="1:15" x14ac:dyDescent="0.25">
      <c r="A995">
        <v>994</v>
      </c>
      <c r="B995" s="2">
        <v>40588</v>
      </c>
      <c r="C995">
        <v>1</v>
      </c>
      <c r="D995">
        <v>2</v>
      </c>
      <c r="E995">
        <v>1</v>
      </c>
      <c r="F995" t="b">
        <v>0</v>
      </c>
      <c r="G995">
        <v>1</v>
      </c>
      <c r="H995">
        <v>1</v>
      </c>
      <c r="I995">
        <v>0.38</v>
      </c>
      <c r="J995">
        <v>0.39389999999999997</v>
      </c>
      <c r="K995">
        <v>0.37</v>
      </c>
      <c r="L995">
        <v>0.35820000000000002</v>
      </c>
      <c r="M995">
        <v>1</v>
      </c>
      <c r="N995">
        <v>6</v>
      </c>
      <c r="O995">
        <v>7</v>
      </c>
    </row>
    <row r="996" spans="1:15" x14ac:dyDescent="0.25">
      <c r="A996">
        <v>995</v>
      </c>
      <c r="B996" s="2">
        <v>40588</v>
      </c>
      <c r="C996">
        <v>1</v>
      </c>
      <c r="D996">
        <v>2</v>
      </c>
      <c r="E996">
        <v>2</v>
      </c>
      <c r="F996" t="b">
        <v>0</v>
      </c>
      <c r="G996">
        <v>1</v>
      </c>
      <c r="H996">
        <v>1</v>
      </c>
      <c r="I996">
        <v>0.36</v>
      </c>
      <c r="J996">
        <v>0.33329999999999999</v>
      </c>
      <c r="K996">
        <v>0.4</v>
      </c>
      <c r="L996">
        <v>0.29849999999999999</v>
      </c>
      <c r="M996">
        <v>0</v>
      </c>
      <c r="N996">
        <v>2</v>
      </c>
      <c r="O996">
        <v>2</v>
      </c>
    </row>
    <row r="997" spans="1:15" x14ac:dyDescent="0.25">
      <c r="A997">
        <v>996</v>
      </c>
      <c r="B997" s="2">
        <v>40588</v>
      </c>
      <c r="C997">
        <v>1</v>
      </c>
      <c r="D997">
        <v>2</v>
      </c>
      <c r="E997">
        <v>3</v>
      </c>
      <c r="F997" t="b">
        <v>0</v>
      </c>
      <c r="G997">
        <v>1</v>
      </c>
      <c r="H997">
        <v>1</v>
      </c>
      <c r="I997">
        <v>0.34</v>
      </c>
      <c r="J997">
        <v>0.31819999999999998</v>
      </c>
      <c r="K997">
        <v>0.46</v>
      </c>
      <c r="L997">
        <v>0.22389999999999999</v>
      </c>
      <c r="M997">
        <v>1</v>
      </c>
      <c r="N997">
        <v>1</v>
      </c>
      <c r="O997">
        <v>2</v>
      </c>
    </row>
    <row r="998" spans="1:15" x14ac:dyDescent="0.25">
      <c r="A998">
        <v>997</v>
      </c>
      <c r="B998" s="2">
        <v>40588</v>
      </c>
      <c r="C998">
        <v>1</v>
      </c>
      <c r="D998">
        <v>2</v>
      </c>
      <c r="E998">
        <v>4</v>
      </c>
      <c r="F998" t="b">
        <v>0</v>
      </c>
      <c r="G998">
        <v>1</v>
      </c>
      <c r="H998">
        <v>1</v>
      </c>
      <c r="I998">
        <v>0.32</v>
      </c>
      <c r="J998">
        <v>0.30299999999999999</v>
      </c>
      <c r="K998">
        <v>0.53</v>
      </c>
      <c r="L998">
        <v>0.28360000000000002</v>
      </c>
      <c r="M998">
        <v>0</v>
      </c>
      <c r="N998">
        <v>2</v>
      </c>
      <c r="O998">
        <v>2</v>
      </c>
    </row>
    <row r="999" spans="1:15" x14ac:dyDescent="0.25">
      <c r="A999">
        <v>998</v>
      </c>
      <c r="B999" s="2">
        <v>40588</v>
      </c>
      <c r="C999">
        <v>1</v>
      </c>
      <c r="D999">
        <v>2</v>
      </c>
      <c r="E999">
        <v>5</v>
      </c>
      <c r="F999" t="b">
        <v>0</v>
      </c>
      <c r="G999">
        <v>1</v>
      </c>
      <c r="H999">
        <v>1</v>
      </c>
      <c r="I999">
        <v>0.32</v>
      </c>
      <c r="J999">
        <v>0.30299999999999999</v>
      </c>
      <c r="K999">
        <v>0.53</v>
      </c>
      <c r="L999">
        <v>0.28360000000000002</v>
      </c>
      <c r="M999">
        <v>0</v>
      </c>
      <c r="N999">
        <v>3</v>
      </c>
      <c r="O999">
        <v>3</v>
      </c>
    </row>
    <row r="1000" spans="1:15" x14ac:dyDescent="0.25">
      <c r="A1000">
        <v>999</v>
      </c>
      <c r="B1000" s="2">
        <v>40588</v>
      </c>
      <c r="C1000">
        <v>1</v>
      </c>
      <c r="D1000">
        <v>2</v>
      </c>
      <c r="E1000">
        <v>6</v>
      </c>
      <c r="F1000" t="b">
        <v>0</v>
      </c>
      <c r="G1000">
        <v>1</v>
      </c>
      <c r="H1000">
        <v>1</v>
      </c>
      <c r="I1000">
        <v>0.34</v>
      </c>
      <c r="J1000">
        <v>0.30299999999999999</v>
      </c>
      <c r="K1000">
        <v>0.46</v>
      </c>
      <c r="L1000">
        <v>0.29849999999999999</v>
      </c>
      <c r="M1000">
        <v>1</v>
      </c>
      <c r="N1000">
        <v>25</v>
      </c>
      <c r="O1000">
        <v>26</v>
      </c>
    </row>
    <row r="1001" spans="1:15" ht="14.25" customHeight="1" x14ac:dyDescent="0.25">
      <c r="A1001">
        <v>1000</v>
      </c>
      <c r="B1001" s="2">
        <v>40588</v>
      </c>
      <c r="C1001">
        <v>1</v>
      </c>
      <c r="D1001">
        <v>2</v>
      </c>
      <c r="E1001">
        <v>7</v>
      </c>
      <c r="F1001" t="b">
        <v>0</v>
      </c>
      <c r="G1001">
        <v>1</v>
      </c>
      <c r="H1001">
        <v>1</v>
      </c>
      <c r="I1001">
        <v>0.34</v>
      </c>
      <c r="J1001">
        <v>0.30299999999999999</v>
      </c>
      <c r="K1001">
        <v>0.46</v>
      </c>
      <c r="L1001">
        <v>0.29849999999999999</v>
      </c>
      <c r="M1001">
        <v>2</v>
      </c>
      <c r="N1001">
        <v>96</v>
      </c>
      <c r="O1001">
        <v>98</v>
      </c>
    </row>
    <row r="1002" spans="1:15" hidden="1" x14ac:dyDescent="0.25">
      <c r="B1002" s="2"/>
    </row>
    <row r="1003" spans="1:15" hidden="1" x14ac:dyDescent="0.25">
      <c r="B1003" s="2"/>
      <c r="I1003">
        <f>AVERAGE(I2:I1001)</f>
        <v>0.20589999999999961</v>
      </c>
      <c r="J1003">
        <f>AVERAGE(J2:J1001)</f>
        <v>0.21195783619818054</v>
      </c>
      <c r="K1003">
        <f>AVERAGE(K2:K1001)</f>
        <v>0.58248000000000033</v>
      </c>
      <c r="L1003">
        <f>AVERAGE(L2:L1001)</f>
        <v>0.25776294999999855</v>
      </c>
      <c r="M1003">
        <f>SUM(M2:M1001)</f>
        <v>4921</v>
      </c>
      <c r="N1003">
        <f t="shared" ref="N1003:O1003" si="26">SUM(N2:N1001)</f>
        <v>53383</v>
      </c>
      <c r="O1003">
        <f t="shared" si="26"/>
        <v>58304</v>
      </c>
    </row>
    <row r="1004" spans="1:15" hidden="1" x14ac:dyDescent="0.25">
      <c r="B1004" s="2"/>
    </row>
    <row r="1005" spans="1:15" hidden="1" x14ac:dyDescent="0.25">
      <c r="B1005" s="2"/>
    </row>
    <row r="1006" spans="1:15" hidden="1" x14ac:dyDescent="0.25">
      <c r="B1006" s="2"/>
    </row>
    <row r="1007" spans="1:15" hidden="1" x14ac:dyDescent="0.25">
      <c r="B1007" s="2"/>
    </row>
    <row r="1008" spans="1:15" hidden="1" x14ac:dyDescent="0.25">
      <c r="B1008" s="2"/>
    </row>
    <row r="1009" spans="2:2" hidden="1" x14ac:dyDescent="0.25">
      <c r="B1009" s="2"/>
    </row>
    <row r="1010" spans="2:2" hidden="1" x14ac:dyDescent="0.25">
      <c r="B1010" s="2"/>
    </row>
    <row r="1011" spans="2:2" hidden="1" x14ac:dyDescent="0.25">
      <c r="B1011" s="2"/>
    </row>
    <row r="1012" spans="2:2" hidden="1" x14ac:dyDescent="0.25">
      <c r="B1012" s="2"/>
    </row>
    <row r="1013" spans="2:2" hidden="1" x14ac:dyDescent="0.25">
      <c r="B1013" s="2"/>
    </row>
    <row r="1014" spans="2:2" hidden="1" x14ac:dyDescent="0.25">
      <c r="B1014" s="2"/>
    </row>
    <row r="1015" spans="2:2" hidden="1" x14ac:dyDescent="0.25">
      <c r="B1015" s="2"/>
    </row>
    <row r="1016" spans="2:2" hidden="1" x14ac:dyDescent="0.25">
      <c r="B1016" s="2"/>
    </row>
    <row r="1017" spans="2:2" hidden="1" x14ac:dyDescent="0.25">
      <c r="B1017" s="2"/>
    </row>
    <row r="1018" spans="2:2" hidden="1" x14ac:dyDescent="0.25">
      <c r="B1018" s="2"/>
    </row>
    <row r="1019" spans="2:2" hidden="1" x14ac:dyDescent="0.25">
      <c r="B1019" s="2"/>
    </row>
    <row r="1020" spans="2:2" hidden="1" x14ac:dyDescent="0.25">
      <c r="B1020" s="2"/>
    </row>
    <row r="1021" spans="2:2" hidden="1" x14ac:dyDescent="0.25">
      <c r="B1021" s="2"/>
    </row>
    <row r="1022" spans="2:2" hidden="1" x14ac:dyDescent="0.25">
      <c r="B1022" s="2"/>
    </row>
    <row r="1023" spans="2:2" hidden="1" x14ac:dyDescent="0.25">
      <c r="B1023" s="2"/>
    </row>
    <row r="1024" spans="2:2" hidden="1" x14ac:dyDescent="0.25">
      <c r="B1024" s="2"/>
    </row>
    <row r="1025" spans="2:2" hidden="1" x14ac:dyDescent="0.25">
      <c r="B1025" s="2"/>
    </row>
    <row r="1026" spans="2:2" hidden="1" x14ac:dyDescent="0.25">
      <c r="B1026" s="2"/>
    </row>
    <row r="1027" spans="2:2" hidden="1" x14ac:dyDescent="0.25">
      <c r="B1027" s="2"/>
    </row>
    <row r="1028" spans="2:2" hidden="1" x14ac:dyDescent="0.25">
      <c r="B1028" s="2"/>
    </row>
    <row r="1029" spans="2:2" hidden="1" x14ac:dyDescent="0.25">
      <c r="B1029" s="2"/>
    </row>
    <row r="1030" spans="2:2" hidden="1" x14ac:dyDescent="0.25">
      <c r="B1030" s="2"/>
    </row>
    <row r="1031" spans="2:2" hidden="1" x14ac:dyDescent="0.25">
      <c r="B1031" s="2"/>
    </row>
    <row r="1032" spans="2:2" hidden="1" x14ac:dyDescent="0.25">
      <c r="B1032" s="2"/>
    </row>
    <row r="1033" spans="2:2" hidden="1" x14ac:dyDescent="0.25">
      <c r="B1033" s="2"/>
    </row>
    <row r="1034" spans="2:2" hidden="1" x14ac:dyDescent="0.25">
      <c r="B1034" s="2"/>
    </row>
    <row r="1035" spans="2:2" hidden="1" x14ac:dyDescent="0.25">
      <c r="B1035" s="2"/>
    </row>
    <row r="1036" spans="2:2" hidden="1" x14ac:dyDescent="0.25">
      <c r="B1036" s="2"/>
    </row>
    <row r="1037" spans="2:2" hidden="1" x14ac:dyDescent="0.25">
      <c r="B1037" s="2"/>
    </row>
    <row r="1038" spans="2:2" hidden="1" x14ac:dyDescent="0.25">
      <c r="B1038" s="2"/>
    </row>
    <row r="1039" spans="2:2" hidden="1" x14ac:dyDescent="0.25">
      <c r="B1039" s="2"/>
    </row>
    <row r="1040" spans="2:2" hidden="1" x14ac:dyDescent="0.25">
      <c r="B1040" s="2"/>
    </row>
    <row r="1041" spans="2:2" hidden="1" x14ac:dyDescent="0.25">
      <c r="B1041" s="2"/>
    </row>
    <row r="1042" spans="2:2" hidden="1" x14ac:dyDescent="0.25">
      <c r="B1042" s="2"/>
    </row>
    <row r="1043" spans="2:2" hidden="1" x14ac:dyDescent="0.25">
      <c r="B1043" s="2"/>
    </row>
    <row r="1044" spans="2:2" hidden="1" x14ac:dyDescent="0.25">
      <c r="B1044" s="2"/>
    </row>
    <row r="1045" spans="2:2" hidden="1" x14ac:dyDescent="0.25">
      <c r="B1045" s="2"/>
    </row>
    <row r="1046" spans="2:2" hidden="1" x14ac:dyDescent="0.25">
      <c r="B1046" s="2"/>
    </row>
    <row r="1047" spans="2:2" hidden="1" x14ac:dyDescent="0.25">
      <c r="B1047" s="2"/>
    </row>
    <row r="1048" spans="2:2" hidden="1" x14ac:dyDescent="0.25">
      <c r="B1048" s="2"/>
    </row>
    <row r="1049" spans="2:2" hidden="1" x14ac:dyDescent="0.25">
      <c r="B1049" s="2"/>
    </row>
    <row r="1050" spans="2:2" hidden="1" x14ac:dyDescent="0.25">
      <c r="B1050" s="2"/>
    </row>
    <row r="1051" spans="2:2" hidden="1" x14ac:dyDescent="0.25">
      <c r="B1051" s="2"/>
    </row>
    <row r="1052" spans="2:2" hidden="1" x14ac:dyDescent="0.25">
      <c r="B1052" s="2"/>
    </row>
    <row r="1053" spans="2:2" hidden="1" x14ac:dyDescent="0.25">
      <c r="B1053" s="2"/>
    </row>
    <row r="1054" spans="2:2" hidden="1" x14ac:dyDescent="0.25">
      <c r="B1054" s="2"/>
    </row>
    <row r="1055" spans="2:2" hidden="1" x14ac:dyDescent="0.25">
      <c r="B1055" s="2"/>
    </row>
    <row r="1056" spans="2:2" hidden="1" x14ac:dyDescent="0.25">
      <c r="B1056" s="2"/>
    </row>
    <row r="1057" spans="2:2" hidden="1" x14ac:dyDescent="0.25">
      <c r="B1057" s="2"/>
    </row>
    <row r="1058" spans="2:2" hidden="1" x14ac:dyDescent="0.25">
      <c r="B1058" s="2"/>
    </row>
    <row r="1059" spans="2:2" hidden="1" x14ac:dyDescent="0.25">
      <c r="B1059" s="2"/>
    </row>
    <row r="1060" spans="2:2" hidden="1" x14ac:dyDescent="0.25">
      <c r="B1060" s="2"/>
    </row>
    <row r="1061" spans="2:2" hidden="1" x14ac:dyDescent="0.25">
      <c r="B1061" s="2"/>
    </row>
    <row r="1062" spans="2:2" hidden="1" x14ac:dyDescent="0.25">
      <c r="B1062" s="2"/>
    </row>
    <row r="1063" spans="2:2" hidden="1" x14ac:dyDescent="0.25">
      <c r="B1063" s="2"/>
    </row>
    <row r="1064" spans="2:2" hidden="1" x14ac:dyDescent="0.25">
      <c r="B1064" s="2"/>
    </row>
    <row r="1065" spans="2:2" hidden="1" x14ac:dyDescent="0.25">
      <c r="B1065" s="2"/>
    </row>
    <row r="1066" spans="2:2" hidden="1" x14ac:dyDescent="0.25">
      <c r="B1066" s="2"/>
    </row>
    <row r="1067" spans="2:2" hidden="1" x14ac:dyDescent="0.25">
      <c r="B1067" s="2"/>
    </row>
    <row r="1068" spans="2:2" hidden="1" x14ac:dyDescent="0.25">
      <c r="B1068" s="2"/>
    </row>
    <row r="1069" spans="2:2" hidden="1" x14ac:dyDescent="0.25">
      <c r="B1069" s="2"/>
    </row>
    <row r="1070" spans="2:2" hidden="1" x14ac:dyDescent="0.25">
      <c r="B1070" s="2"/>
    </row>
    <row r="1071" spans="2:2" hidden="1" x14ac:dyDescent="0.25">
      <c r="B1071" s="2"/>
    </row>
    <row r="1072" spans="2:2" hidden="1" x14ac:dyDescent="0.25">
      <c r="B1072" s="2"/>
    </row>
    <row r="1073" spans="2:2" hidden="1" x14ac:dyDescent="0.25">
      <c r="B1073" s="2"/>
    </row>
    <row r="1074" spans="2:2" hidden="1" x14ac:dyDescent="0.25">
      <c r="B1074" s="2"/>
    </row>
    <row r="1075" spans="2:2" hidden="1" x14ac:dyDescent="0.25">
      <c r="B1075" s="2"/>
    </row>
    <row r="1076" spans="2:2" hidden="1" x14ac:dyDescent="0.25">
      <c r="B1076" s="2"/>
    </row>
    <row r="1077" spans="2:2" hidden="1" x14ac:dyDescent="0.25">
      <c r="B1077" s="2"/>
    </row>
    <row r="1078" spans="2:2" hidden="1" x14ac:dyDescent="0.25">
      <c r="B1078" s="2"/>
    </row>
    <row r="1079" spans="2:2" hidden="1" x14ac:dyDescent="0.25">
      <c r="B1079" s="2"/>
    </row>
    <row r="1080" spans="2:2" hidden="1" x14ac:dyDescent="0.25">
      <c r="B1080" s="2"/>
    </row>
    <row r="1081" spans="2:2" hidden="1" x14ac:dyDescent="0.25">
      <c r="B1081" s="2"/>
    </row>
    <row r="1082" spans="2:2" hidden="1" x14ac:dyDescent="0.25">
      <c r="B1082" s="2"/>
    </row>
    <row r="1083" spans="2:2" hidden="1" x14ac:dyDescent="0.25">
      <c r="B1083" s="2"/>
    </row>
    <row r="1084" spans="2:2" hidden="1" x14ac:dyDescent="0.25">
      <c r="B1084" s="2"/>
    </row>
    <row r="1085" spans="2:2" hidden="1" x14ac:dyDescent="0.25">
      <c r="B1085" s="2"/>
    </row>
    <row r="1086" spans="2:2" hidden="1" x14ac:dyDescent="0.25">
      <c r="B1086" s="2"/>
    </row>
    <row r="1087" spans="2:2" hidden="1" x14ac:dyDescent="0.25">
      <c r="B1087" s="2"/>
    </row>
    <row r="1088" spans="2:2" hidden="1" x14ac:dyDescent="0.25">
      <c r="B1088" s="2"/>
    </row>
    <row r="1089" spans="2:2" hidden="1" x14ac:dyDescent="0.25">
      <c r="B1089" s="2"/>
    </row>
    <row r="1090" spans="2:2" hidden="1" x14ac:dyDescent="0.25">
      <c r="B1090" s="2"/>
    </row>
    <row r="1091" spans="2:2" hidden="1" x14ac:dyDescent="0.25">
      <c r="B1091" s="2"/>
    </row>
    <row r="1092" spans="2:2" hidden="1" x14ac:dyDescent="0.25">
      <c r="B1092" s="2"/>
    </row>
    <row r="1093" spans="2:2" hidden="1" x14ac:dyDescent="0.25">
      <c r="B1093" s="2"/>
    </row>
    <row r="1094" spans="2:2" hidden="1" x14ac:dyDescent="0.25">
      <c r="B1094" s="2"/>
    </row>
    <row r="1095" spans="2:2" hidden="1" x14ac:dyDescent="0.25">
      <c r="B1095" s="2"/>
    </row>
    <row r="1096" spans="2:2" hidden="1" x14ac:dyDescent="0.25">
      <c r="B1096" s="2"/>
    </row>
    <row r="1097" spans="2:2" hidden="1" x14ac:dyDescent="0.25">
      <c r="B1097" s="2"/>
    </row>
    <row r="1098" spans="2:2" hidden="1" x14ac:dyDescent="0.25">
      <c r="B1098" s="2"/>
    </row>
    <row r="1099" spans="2:2" hidden="1" x14ac:dyDescent="0.25">
      <c r="B1099" s="2"/>
    </row>
    <row r="1100" spans="2:2" hidden="1" x14ac:dyDescent="0.25">
      <c r="B1100" s="2"/>
    </row>
    <row r="1101" spans="2:2" hidden="1" x14ac:dyDescent="0.25">
      <c r="B1101" s="2"/>
    </row>
    <row r="1102" spans="2:2" hidden="1" x14ac:dyDescent="0.25">
      <c r="B1102" s="2"/>
    </row>
    <row r="1103" spans="2:2" hidden="1" x14ac:dyDescent="0.25">
      <c r="B1103" s="2"/>
    </row>
    <row r="1104" spans="2:2" hidden="1" x14ac:dyDescent="0.25">
      <c r="B1104" s="2"/>
    </row>
    <row r="1105" spans="2:2" hidden="1" x14ac:dyDescent="0.25">
      <c r="B1105" s="2"/>
    </row>
    <row r="1106" spans="2:2" hidden="1" x14ac:dyDescent="0.25">
      <c r="B1106" s="2"/>
    </row>
    <row r="1107" spans="2:2" hidden="1" x14ac:dyDescent="0.25">
      <c r="B1107" s="2"/>
    </row>
    <row r="1108" spans="2:2" hidden="1" x14ac:dyDescent="0.25">
      <c r="B1108" s="2"/>
    </row>
    <row r="1109" spans="2:2" hidden="1" x14ac:dyDescent="0.25">
      <c r="B1109" s="2"/>
    </row>
    <row r="1110" spans="2:2" hidden="1" x14ac:dyDescent="0.25">
      <c r="B1110" s="2"/>
    </row>
    <row r="1111" spans="2:2" hidden="1" x14ac:dyDescent="0.25">
      <c r="B1111" s="2"/>
    </row>
    <row r="1112" spans="2:2" hidden="1" x14ac:dyDescent="0.25">
      <c r="B1112" s="2"/>
    </row>
    <row r="1113" spans="2:2" hidden="1" x14ac:dyDescent="0.25">
      <c r="B1113" s="2"/>
    </row>
    <row r="1114" spans="2:2" hidden="1" x14ac:dyDescent="0.25">
      <c r="B1114" s="2"/>
    </row>
    <row r="1115" spans="2:2" hidden="1" x14ac:dyDescent="0.25">
      <c r="B1115" s="2"/>
    </row>
    <row r="1116" spans="2:2" hidden="1" x14ac:dyDescent="0.25">
      <c r="B1116" s="2"/>
    </row>
    <row r="1117" spans="2:2" hidden="1" x14ac:dyDescent="0.25">
      <c r="B1117" s="2"/>
    </row>
    <row r="1118" spans="2:2" hidden="1" x14ac:dyDescent="0.25">
      <c r="B1118" s="2"/>
    </row>
    <row r="1119" spans="2:2" hidden="1" x14ac:dyDescent="0.25">
      <c r="B1119" s="2"/>
    </row>
    <row r="1120" spans="2:2" hidden="1" x14ac:dyDescent="0.25">
      <c r="B1120" s="2"/>
    </row>
    <row r="1121" spans="2:2" hidden="1" x14ac:dyDescent="0.25">
      <c r="B1121" s="2"/>
    </row>
    <row r="1122" spans="2:2" hidden="1" x14ac:dyDescent="0.25">
      <c r="B1122" s="2"/>
    </row>
    <row r="1123" spans="2:2" hidden="1" x14ac:dyDescent="0.25">
      <c r="B1123" s="2"/>
    </row>
    <row r="1124" spans="2:2" hidden="1" x14ac:dyDescent="0.25">
      <c r="B1124" s="2"/>
    </row>
    <row r="1125" spans="2:2" hidden="1" x14ac:dyDescent="0.25">
      <c r="B1125" s="2"/>
    </row>
    <row r="1126" spans="2:2" hidden="1" x14ac:dyDescent="0.25">
      <c r="B1126" s="2"/>
    </row>
    <row r="1127" spans="2:2" hidden="1" x14ac:dyDescent="0.25">
      <c r="B1127" s="2"/>
    </row>
    <row r="1128" spans="2:2" hidden="1" x14ac:dyDescent="0.25">
      <c r="B1128" s="2"/>
    </row>
    <row r="1129" spans="2:2" hidden="1" x14ac:dyDescent="0.25">
      <c r="B1129" s="2"/>
    </row>
    <row r="1130" spans="2:2" hidden="1" x14ac:dyDescent="0.25">
      <c r="B1130" s="2"/>
    </row>
    <row r="1131" spans="2:2" hidden="1" x14ac:dyDescent="0.25">
      <c r="B1131" s="2"/>
    </row>
    <row r="1132" spans="2:2" hidden="1" x14ac:dyDescent="0.25">
      <c r="B1132" s="2"/>
    </row>
    <row r="1133" spans="2:2" hidden="1" x14ac:dyDescent="0.25">
      <c r="B1133" s="2"/>
    </row>
    <row r="1134" spans="2:2" hidden="1" x14ac:dyDescent="0.25">
      <c r="B1134" s="2"/>
    </row>
    <row r="1135" spans="2:2" hidden="1" x14ac:dyDescent="0.25">
      <c r="B1135" s="2"/>
    </row>
    <row r="1136" spans="2:2" hidden="1" x14ac:dyDescent="0.25">
      <c r="B1136" s="2"/>
    </row>
    <row r="1137" spans="2:2" hidden="1" x14ac:dyDescent="0.25">
      <c r="B1137" s="2"/>
    </row>
    <row r="1138" spans="2:2" hidden="1" x14ac:dyDescent="0.25">
      <c r="B1138" s="2"/>
    </row>
    <row r="1139" spans="2:2" hidden="1" x14ac:dyDescent="0.25">
      <c r="B1139" s="2"/>
    </row>
    <row r="1140" spans="2:2" hidden="1" x14ac:dyDescent="0.25">
      <c r="B1140" s="2"/>
    </row>
    <row r="1141" spans="2:2" hidden="1" x14ac:dyDescent="0.25">
      <c r="B1141" s="2"/>
    </row>
    <row r="1142" spans="2:2" hidden="1" x14ac:dyDescent="0.25">
      <c r="B1142" s="2"/>
    </row>
    <row r="1143" spans="2:2" hidden="1" x14ac:dyDescent="0.25">
      <c r="B1143" s="2"/>
    </row>
    <row r="1144" spans="2:2" hidden="1" x14ac:dyDescent="0.25">
      <c r="B1144" s="2"/>
    </row>
    <row r="1145" spans="2:2" hidden="1" x14ac:dyDescent="0.25">
      <c r="B1145" s="2"/>
    </row>
    <row r="1146" spans="2:2" hidden="1" x14ac:dyDescent="0.25">
      <c r="B1146" s="2"/>
    </row>
    <row r="1147" spans="2:2" hidden="1" x14ac:dyDescent="0.25">
      <c r="B1147" s="2"/>
    </row>
    <row r="1148" spans="2:2" hidden="1" x14ac:dyDescent="0.25">
      <c r="B1148" s="2"/>
    </row>
    <row r="1149" spans="2:2" hidden="1" x14ac:dyDescent="0.25">
      <c r="B1149" s="2"/>
    </row>
    <row r="1150" spans="2:2" hidden="1" x14ac:dyDescent="0.25">
      <c r="B1150" s="2"/>
    </row>
    <row r="1151" spans="2:2" hidden="1" x14ac:dyDescent="0.25">
      <c r="B1151" s="2"/>
    </row>
    <row r="1152" spans="2:2" hidden="1" x14ac:dyDescent="0.25">
      <c r="B1152" s="2"/>
    </row>
    <row r="1153" spans="2:2" hidden="1" x14ac:dyDescent="0.25">
      <c r="B1153" s="2"/>
    </row>
    <row r="1154" spans="2:2" hidden="1" x14ac:dyDescent="0.25">
      <c r="B1154" s="2"/>
    </row>
    <row r="1155" spans="2:2" hidden="1" x14ac:dyDescent="0.25">
      <c r="B1155" s="2"/>
    </row>
    <row r="1156" spans="2:2" hidden="1" x14ac:dyDescent="0.25">
      <c r="B1156" s="2"/>
    </row>
    <row r="1157" spans="2:2" hidden="1" x14ac:dyDescent="0.25">
      <c r="B1157" s="2"/>
    </row>
    <row r="1158" spans="2:2" hidden="1" x14ac:dyDescent="0.25">
      <c r="B1158" s="2"/>
    </row>
    <row r="1159" spans="2:2" hidden="1" x14ac:dyDescent="0.25">
      <c r="B1159" s="2"/>
    </row>
    <row r="1160" spans="2:2" hidden="1" x14ac:dyDescent="0.25">
      <c r="B1160" s="2"/>
    </row>
    <row r="1161" spans="2:2" hidden="1" x14ac:dyDescent="0.25">
      <c r="B1161" s="2"/>
    </row>
    <row r="1162" spans="2:2" hidden="1" x14ac:dyDescent="0.25">
      <c r="B1162" s="2"/>
    </row>
    <row r="1163" spans="2:2" hidden="1" x14ac:dyDescent="0.25">
      <c r="B1163" s="2"/>
    </row>
    <row r="1164" spans="2:2" hidden="1" x14ac:dyDescent="0.25">
      <c r="B1164" s="2"/>
    </row>
    <row r="1165" spans="2:2" hidden="1" x14ac:dyDescent="0.25">
      <c r="B1165" s="2"/>
    </row>
    <row r="1166" spans="2:2" hidden="1" x14ac:dyDescent="0.25">
      <c r="B1166" s="2"/>
    </row>
    <row r="1167" spans="2:2" hidden="1" x14ac:dyDescent="0.25">
      <c r="B1167" s="2"/>
    </row>
    <row r="1168" spans="2:2" hidden="1" x14ac:dyDescent="0.25">
      <c r="B1168" s="2"/>
    </row>
    <row r="1169" spans="2:2" hidden="1" x14ac:dyDescent="0.25">
      <c r="B1169" s="2"/>
    </row>
    <row r="1170" spans="2:2" hidden="1" x14ac:dyDescent="0.25">
      <c r="B1170" s="2"/>
    </row>
    <row r="1171" spans="2:2" hidden="1" x14ac:dyDescent="0.25">
      <c r="B1171" s="2"/>
    </row>
    <row r="1172" spans="2:2" hidden="1" x14ac:dyDescent="0.25">
      <c r="B1172" s="2"/>
    </row>
    <row r="1173" spans="2:2" hidden="1" x14ac:dyDescent="0.25">
      <c r="B1173" s="2"/>
    </row>
    <row r="1174" spans="2:2" hidden="1" x14ac:dyDescent="0.25">
      <c r="B1174" s="2"/>
    </row>
    <row r="1175" spans="2:2" hidden="1" x14ac:dyDescent="0.25">
      <c r="B1175" s="2"/>
    </row>
    <row r="1176" spans="2:2" hidden="1" x14ac:dyDescent="0.25">
      <c r="B1176" s="2"/>
    </row>
    <row r="1177" spans="2:2" hidden="1" x14ac:dyDescent="0.25">
      <c r="B1177" s="2"/>
    </row>
    <row r="1178" spans="2:2" hidden="1" x14ac:dyDescent="0.25">
      <c r="B1178" s="2"/>
    </row>
    <row r="1179" spans="2:2" hidden="1" x14ac:dyDescent="0.25">
      <c r="B1179" s="2"/>
    </row>
    <row r="1180" spans="2:2" hidden="1" x14ac:dyDescent="0.25">
      <c r="B1180" s="2"/>
    </row>
    <row r="1181" spans="2:2" hidden="1" x14ac:dyDescent="0.25">
      <c r="B1181" s="2"/>
    </row>
    <row r="1182" spans="2:2" hidden="1" x14ac:dyDescent="0.25">
      <c r="B1182" s="2"/>
    </row>
    <row r="1183" spans="2:2" hidden="1" x14ac:dyDescent="0.25">
      <c r="B1183" s="2"/>
    </row>
    <row r="1184" spans="2:2" hidden="1" x14ac:dyDescent="0.25">
      <c r="B1184" s="2"/>
    </row>
    <row r="1185" spans="2:2" hidden="1" x14ac:dyDescent="0.25">
      <c r="B1185" s="2"/>
    </row>
    <row r="1186" spans="2:2" hidden="1" x14ac:dyDescent="0.25">
      <c r="B1186" s="2"/>
    </row>
    <row r="1187" spans="2:2" hidden="1" x14ac:dyDescent="0.25">
      <c r="B1187" s="2"/>
    </row>
    <row r="1188" spans="2:2" hidden="1" x14ac:dyDescent="0.25">
      <c r="B1188" s="2"/>
    </row>
    <row r="1189" spans="2:2" hidden="1" x14ac:dyDescent="0.25">
      <c r="B1189" s="2"/>
    </row>
    <row r="1190" spans="2:2" hidden="1" x14ac:dyDescent="0.25">
      <c r="B1190" s="2"/>
    </row>
    <row r="1191" spans="2:2" hidden="1" x14ac:dyDescent="0.25">
      <c r="B1191" s="2"/>
    </row>
    <row r="1192" spans="2:2" hidden="1" x14ac:dyDescent="0.25">
      <c r="B1192" s="2"/>
    </row>
    <row r="1193" spans="2:2" hidden="1" x14ac:dyDescent="0.25">
      <c r="B1193" s="2"/>
    </row>
    <row r="1194" spans="2:2" hidden="1" x14ac:dyDescent="0.25">
      <c r="B1194" s="2"/>
    </row>
    <row r="1195" spans="2:2" hidden="1" x14ac:dyDescent="0.25">
      <c r="B1195" s="2"/>
    </row>
    <row r="1196" spans="2:2" hidden="1" x14ac:dyDescent="0.25">
      <c r="B1196" s="2"/>
    </row>
    <row r="1197" spans="2:2" hidden="1" x14ac:dyDescent="0.25">
      <c r="B1197" s="2"/>
    </row>
    <row r="1198" spans="2:2" hidden="1" x14ac:dyDescent="0.25">
      <c r="B1198" s="2"/>
    </row>
    <row r="1199" spans="2:2" hidden="1" x14ac:dyDescent="0.25">
      <c r="B1199" s="2"/>
    </row>
    <row r="1200" spans="2:2" hidden="1" x14ac:dyDescent="0.25">
      <c r="B1200" s="2"/>
    </row>
    <row r="1201" spans="2:2" hidden="1" x14ac:dyDescent="0.25">
      <c r="B1201" s="2"/>
    </row>
    <row r="1202" spans="2:2" hidden="1" x14ac:dyDescent="0.25">
      <c r="B1202" s="2"/>
    </row>
    <row r="1203" spans="2:2" hidden="1" x14ac:dyDescent="0.25">
      <c r="B1203" s="2"/>
    </row>
    <row r="1204" spans="2:2" hidden="1" x14ac:dyDescent="0.25">
      <c r="B1204" s="2"/>
    </row>
    <row r="1205" spans="2:2" hidden="1" x14ac:dyDescent="0.25">
      <c r="B1205" s="2"/>
    </row>
    <row r="1206" spans="2:2" hidden="1" x14ac:dyDescent="0.25">
      <c r="B1206" s="2"/>
    </row>
    <row r="1207" spans="2:2" hidden="1" x14ac:dyDescent="0.25">
      <c r="B1207" s="2"/>
    </row>
    <row r="1208" spans="2:2" hidden="1" x14ac:dyDescent="0.25">
      <c r="B1208" s="2"/>
    </row>
    <row r="1209" spans="2:2" hidden="1" x14ac:dyDescent="0.25">
      <c r="B1209" s="2"/>
    </row>
    <row r="1210" spans="2:2" hidden="1" x14ac:dyDescent="0.25">
      <c r="B1210" s="2"/>
    </row>
    <row r="1211" spans="2:2" hidden="1" x14ac:dyDescent="0.25">
      <c r="B1211" s="2"/>
    </row>
    <row r="1212" spans="2:2" hidden="1" x14ac:dyDescent="0.25">
      <c r="B1212" s="2"/>
    </row>
    <row r="1213" spans="2:2" hidden="1" x14ac:dyDescent="0.25">
      <c r="B1213" s="2"/>
    </row>
    <row r="1214" spans="2:2" hidden="1" x14ac:dyDescent="0.25">
      <c r="B1214" s="2"/>
    </row>
    <row r="1215" spans="2:2" hidden="1" x14ac:dyDescent="0.25">
      <c r="B1215" s="2"/>
    </row>
    <row r="1216" spans="2:2" hidden="1" x14ac:dyDescent="0.25">
      <c r="B1216" s="2"/>
    </row>
    <row r="1217" spans="2:2" hidden="1" x14ac:dyDescent="0.25">
      <c r="B1217" s="2"/>
    </row>
    <row r="1218" spans="2:2" hidden="1" x14ac:dyDescent="0.25">
      <c r="B1218" s="2"/>
    </row>
    <row r="1219" spans="2:2" hidden="1" x14ac:dyDescent="0.25">
      <c r="B1219" s="2"/>
    </row>
    <row r="1220" spans="2:2" hidden="1" x14ac:dyDescent="0.25">
      <c r="B1220" s="2"/>
    </row>
    <row r="1221" spans="2:2" hidden="1" x14ac:dyDescent="0.25">
      <c r="B1221" s="2"/>
    </row>
    <row r="1222" spans="2:2" hidden="1" x14ac:dyDescent="0.25">
      <c r="B1222" s="2"/>
    </row>
    <row r="1223" spans="2:2" hidden="1" x14ac:dyDescent="0.25">
      <c r="B1223" s="2"/>
    </row>
    <row r="1224" spans="2:2" hidden="1" x14ac:dyDescent="0.25">
      <c r="B1224" s="2"/>
    </row>
    <row r="1225" spans="2:2" hidden="1" x14ac:dyDescent="0.25">
      <c r="B1225" s="2"/>
    </row>
    <row r="1226" spans="2:2" hidden="1" x14ac:dyDescent="0.25">
      <c r="B1226" s="2"/>
    </row>
    <row r="1227" spans="2:2" hidden="1" x14ac:dyDescent="0.25">
      <c r="B1227" s="2"/>
    </row>
    <row r="1228" spans="2:2" hidden="1" x14ac:dyDescent="0.25">
      <c r="B1228" s="2"/>
    </row>
    <row r="1229" spans="2:2" hidden="1" x14ac:dyDescent="0.25">
      <c r="B1229" s="2"/>
    </row>
    <row r="1230" spans="2:2" hidden="1" x14ac:dyDescent="0.25">
      <c r="B1230" s="2"/>
    </row>
    <row r="1231" spans="2:2" hidden="1" x14ac:dyDescent="0.25">
      <c r="B1231" s="2"/>
    </row>
    <row r="1232" spans="2:2" hidden="1" x14ac:dyDescent="0.25">
      <c r="B1232" s="2"/>
    </row>
    <row r="1233" spans="2:2" hidden="1" x14ac:dyDescent="0.25">
      <c r="B1233" s="2"/>
    </row>
    <row r="1234" spans="2:2" hidden="1" x14ac:dyDescent="0.25">
      <c r="B1234" s="2"/>
    </row>
    <row r="1235" spans="2:2" hidden="1" x14ac:dyDescent="0.25">
      <c r="B1235" s="2"/>
    </row>
    <row r="1236" spans="2:2" hidden="1" x14ac:dyDescent="0.25">
      <c r="B1236" s="2"/>
    </row>
    <row r="1237" spans="2:2" hidden="1" x14ac:dyDescent="0.25">
      <c r="B1237" s="2"/>
    </row>
    <row r="1238" spans="2:2" hidden="1" x14ac:dyDescent="0.25">
      <c r="B1238" s="2"/>
    </row>
    <row r="1239" spans="2:2" hidden="1" x14ac:dyDescent="0.25">
      <c r="B1239" s="2"/>
    </row>
    <row r="1240" spans="2:2" hidden="1" x14ac:dyDescent="0.25">
      <c r="B1240" s="2"/>
    </row>
    <row r="1241" spans="2:2" hidden="1" x14ac:dyDescent="0.25">
      <c r="B1241" s="2"/>
    </row>
    <row r="1242" spans="2:2" hidden="1" x14ac:dyDescent="0.25">
      <c r="B1242" s="2"/>
    </row>
    <row r="1243" spans="2:2" hidden="1" x14ac:dyDescent="0.25">
      <c r="B1243" s="2"/>
    </row>
    <row r="1244" spans="2:2" hidden="1" x14ac:dyDescent="0.25">
      <c r="B1244" s="2"/>
    </row>
    <row r="1245" spans="2:2" hidden="1" x14ac:dyDescent="0.25">
      <c r="B1245" s="2"/>
    </row>
    <row r="1246" spans="2:2" hidden="1" x14ac:dyDescent="0.25">
      <c r="B1246" s="2"/>
    </row>
    <row r="1247" spans="2:2" hidden="1" x14ac:dyDescent="0.25">
      <c r="B1247" s="2"/>
    </row>
    <row r="1248" spans="2:2" hidden="1" x14ac:dyDescent="0.25">
      <c r="B1248" s="2"/>
    </row>
    <row r="1249" spans="2:2" hidden="1" x14ac:dyDescent="0.25">
      <c r="B1249" s="2"/>
    </row>
    <row r="1250" spans="2:2" hidden="1" x14ac:dyDescent="0.25">
      <c r="B1250" s="2"/>
    </row>
    <row r="1251" spans="2:2" hidden="1" x14ac:dyDescent="0.25">
      <c r="B1251" s="2"/>
    </row>
    <row r="1252" spans="2:2" hidden="1" x14ac:dyDescent="0.25">
      <c r="B1252" s="2"/>
    </row>
    <row r="1253" spans="2:2" hidden="1" x14ac:dyDescent="0.25">
      <c r="B1253" s="2"/>
    </row>
    <row r="1254" spans="2:2" hidden="1" x14ac:dyDescent="0.25">
      <c r="B1254" s="2"/>
    </row>
    <row r="1255" spans="2:2" hidden="1" x14ac:dyDescent="0.25">
      <c r="B1255" s="2"/>
    </row>
    <row r="1256" spans="2:2" hidden="1" x14ac:dyDescent="0.25">
      <c r="B1256" s="2"/>
    </row>
    <row r="1257" spans="2:2" hidden="1" x14ac:dyDescent="0.25">
      <c r="B1257" s="2"/>
    </row>
    <row r="1258" spans="2:2" hidden="1" x14ac:dyDescent="0.25">
      <c r="B1258" s="2"/>
    </row>
    <row r="1259" spans="2:2" hidden="1" x14ac:dyDescent="0.25">
      <c r="B1259" s="2"/>
    </row>
    <row r="1260" spans="2:2" hidden="1" x14ac:dyDescent="0.25">
      <c r="B1260" s="2"/>
    </row>
    <row r="1261" spans="2:2" hidden="1" x14ac:dyDescent="0.25">
      <c r="B1261" s="2"/>
    </row>
    <row r="1262" spans="2:2" hidden="1" x14ac:dyDescent="0.25">
      <c r="B1262" s="2"/>
    </row>
    <row r="1263" spans="2:2" hidden="1" x14ac:dyDescent="0.25">
      <c r="B1263" s="2"/>
    </row>
    <row r="1264" spans="2:2" hidden="1" x14ac:dyDescent="0.25">
      <c r="B1264" s="2"/>
    </row>
    <row r="1265" spans="2:2" hidden="1" x14ac:dyDescent="0.25">
      <c r="B1265" s="2"/>
    </row>
    <row r="1266" spans="2:2" hidden="1" x14ac:dyDescent="0.25">
      <c r="B1266" s="2"/>
    </row>
    <row r="1267" spans="2:2" hidden="1" x14ac:dyDescent="0.25">
      <c r="B1267" s="2"/>
    </row>
    <row r="1268" spans="2:2" hidden="1" x14ac:dyDescent="0.25">
      <c r="B1268" s="2"/>
    </row>
    <row r="1269" spans="2:2" hidden="1" x14ac:dyDescent="0.25">
      <c r="B1269" s="2"/>
    </row>
    <row r="1270" spans="2:2" hidden="1" x14ac:dyDescent="0.25">
      <c r="B1270" s="2"/>
    </row>
    <row r="1271" spans="2:2" hidden="1" x14ac:dyDescent="0.25">
      <c r="B1271" s="2"/>
    </row>
    <row r="1272" spans="2:2" hidden="1" x14ac:dyDescent="0.25">
      <c r="B1272" s="2"/>
    </row>
    <row r="1273" spans="2:2" hidden="1" x14ac:dyDescent="0.25">
      <c r="B1273" s="2"/>
    </row>
    <row r="1274" spans="2:2" hidden="1" x14ac:dyDescent="0.25">
      <c r="B1274" s="2"/>
    </row>
    <row r="1275" spans="2:2" hidden="1" x14ac:dyDescent="0.25">
      <c r="B1275" s="2"/>
    </row>
    <row r="1276" spans="2:2" hidden="1" x14ac:dyDescent="0.25">
      <c r="B1276" s="2"/>
    </row>
    <row r="1277" spans="2:2" hidden="1" x14ac:dyDescent="0.25">
      <c r="B1277" s="2"/>
    </row>
    <row r="1278" spans="2:2" hidden="1" x14ac:dyDescent="0.25">
      <c r="B1278" s="2"/>
    </row>
    <row r="1279" spans="2:2" hidden="1" x14ac:dyDescent="0.25">
      <c r="B1279" s="2"/>
    </row>
    <row r="1280" spans="2:2" hidden="1" x14ac:dyDescent="0.25">
      <c r="B1280" s="2"/>
    </row>
    <row r="1281" spans="2:2" hidden="1" x14ac:dyDescent="0.25">
      <c r="B1281" s="2"/>
    </row>
    <row r="1282" spans="2:2" hidden="1" x14ac:dyDescent="0.25">
      <c r="B1282" s="2"/>
    </row>
    <row r="1283" spans="2:2" hidden="1" x14ac:dyDescent="0.25">
      <c r="B1283" s="2"/>
    </row>
    <row r="1284" spans="2:2" hidden="1" x14ac:dyDescent="0.25">
      <c r="B1284" s="2"/>
    </row>
    <row r="1285" spans="2:2" hidden="1" x14ac:dyDescent="0.25">
      <c r="B1285" s="2"/>
    </row>
    <row r="1286" spans="2:2" hidden="1" x14ac:dyDescent="0.25">
      <c r="B1286" s="2"/>
    </row>
    <row r="1287" spans="2:2" hidden="1" x14ac:dyDescent="0.25">
      <c r="B1287" s="2"/>
    </row>
    <row r="1288" spans="2:2" hidden="1" x14ac:dyDescent="0.25">
      <c r="B1288" s="2"/>
    </row>
    <row r="1289" spans="2:2" hidden="1" x14ac:dyDescent="0.25">
      <c r="B1289" s="2"/>
    </row>
    <row r="1290" spans="2:2" hidden="1" x14ac:dyDescent="0.25">
      <c r="B1290" s="2"/>
    </row>
    <row r="1291" spans="2:2" hidden="1" x14ac:dyDescent="0.25">
      <c r="B1291" s="2"/>
    </row>
    <row r="1292" spans="2:2" hidden="1" x14ac:dyDescent="0.25">
      <c r="B1292" s="2"/>
    </row>
    <row r="1293" spans="2:2" hidden="1" x14ac:dyDescent="0.25">
      <c r="B1293" s="2"/>
    </row>
    <row r="1294" spans="2:2" hidden="1" x14ac:dyDescent="0.25">
      <c r="B1294" s="2"/>
    </row>
    <row r="1295" spans="2:2" hidden="1" x14ac:dyDescent="0.25">
      <c r="B1295" s="2"/>
    </row>
    <row r="1296" spans="2:2" hidden="1" x14ac:dyDescent="0.25">
      <c r="B1296" s="2"/>
    </row>
    <row r="1297" spans="2:2" hidden="1" x14ac:dyDescent="0.25">
      <c r="B1297" s="2"/>
    </row>
    <row r="1298" spans="2:2" hidden="1" x14ac:dyDescent="0.25">
      <c r="B1298" s="2"/>
    </row>
    <row r="1299" spans="2:2" hidden="1" x14ac:dyDescent="0.25">
      <c r="B1299" s="2"/>
    </row>
    <row r="1300" spans="2:2" hidden="1" x14ac:dyDescent="0.25">
      <c r="B1300" s="2"/>
    </row>
    <row r="1301" spans="2:2" hidden="1" x14ac:dyDescent="0.25">
      <c r="B1301" s="2"/>
    </row>
    <row r="1302" spans="2:2" hidden="1" x14ac:dyDescent="0.25">
      <c r="B1302" s="2"/>
    </row>
    <row r="1303" spans="2:2" hidden="1" x14ac:dyDescent="0.25">
      <c r="B1303" s="2"/>
    </row>
    <row r="1304" spans="2:2" hidden="1" x14ac:dyDescent="0.25">
      <c r="B1304" s="2"/>
    </row>
    <row r="1305" spans="2:2" hidden="1" x14ac:dyDescent="0.25">
      <c r="B1305" s="2"/>
    </row>
    <row r="1306" spans="2:2" hidden="1" x14ac:dyDescent="0.25">
      <c r="B1306" s="2"/>
    </row>
    <row r="1307" spans="2:2" hidden="1" x14ac:dyDescent="0.25">
      <c r="B1307" s="2"/>
    </row>
    <row r="1308" spans="2:2" hidden="1" x14ac:dyDescent="0.25">
      <c r="B1308" s="2"/>
    </row>
    <row r="1309" spans="2:2" hidden="1" x14ac:dyDescent="0.25">
      <c r="B1309" s="2"/>
    </row>
    <row r="1310" spans="2:2" hidden="1" x14ac:dyDescent="0.25">
      <c r="B1310" s="2"/>
    </row>
    <row r="1311" spans="2:2" hidden="1" x14ac:dyDescent="0.25">
      <c r="B1311" s="2"/>
    </row>
    <row r="1312" spans="2:2" hidden="1" x14ac:dyDescent="0.25">
      <c r="B1312" s="2"/>
    </row>
    <row r="1313" spans="2:2" hidden="1" x14ac:dyDescent="0.25">
      <c r="B1313" s="2"/>
    </row>
    <row r="1314" spans="2:2" hidden="1" x14ac:dyDescent="0.25">
      <c r="B1314" s="2"/>
    </row>
    <row r="1315" spans="2:2" hidden="1" x14ac:dyDescent="0.25">
      <c r="B1315" s="2"/>
    </row>
    <row r="1316" spans="2:2" hidden="1" x14ac:dyDescent="0.25">
      <c r="B1316" s="2"/>
    </row>
    <row r="1317" spans="2:2" hidden="1" x14ac:dyDescent="0.25">
      <c r="B1317" s="2"/>
    </row>
    <row r="1318" spans="2:2" hidden="1" x14ac:dyDescent="0.25">
      <c r="B1318" s="2"/>
    </row>
    <row r="1319" spans="2:2" hidden="1" x14ac:dyDescent="0.25">
      <c r="B1319" s="2"/>
    </row>
    <row r="1320" spans="2:2" hidden="1" x14ac:dyDescent="0.25">
      <c r="B1320" s="2"/>
    </row>
    <row r="1321" spans="2:2" hidden="1" x14ac:dyDescent="0.25">
      <c r="B1321" s="2"/>
    </row>
    <row r="1322" spans="2:2" hidden="1" x14ac:dyDescent="0.25">
      <c r="B1322" s="2"/>
    </row>
    <row r="1323" spans="2:2" hidden="1" x14ac:dyDescent="0.25">
      <c r="B1323" s="2"/>
    </row>
    <row r="1324" spans="2:2" hidden="1" x14ac:dyDescent="0.25">
      <c r="B1324" s="2"/>
    </row>
    <row r="1325" spans="2:2" hidden="1" x14ac:dyDescent="0.25">
      <c r="B1325" s="2"/>
    </row>
    <row r="1326" spans="2:2" hidden="1" x14ac:dyDescent="0.25">
      <c r="B1326" s="2"/>
    </row>
    <row r="1327" spans="2:2" hidden="1" x14ac:dyDescent="0.25">
      <c r="B1327" s="2"/>
    </row>
    <row r="1328" spans="2:2" hidden="1" x14ac:dyDescent="0.25">
      <c r="B1328" s="2"/>
    </row>
    <row r="1329" spans="2:2" hidden="1" x14ac:dyDescent="0.25">
      <c r="B1329" s="2"/>
    </row>
    <row r="1330" spans="2:2" hidden="1" x14ac:dyDescent="0.25">
      <c r="B1330" s="2"/>
    </row>
    <row r="1331" spans="2:2" hidden="1" x14ac:dyDescent="0.25">
      <c r="B1331" s="2"/>
    </row>
    <row r="1332" spans="2:2" hidden="1" x14ac:dyDescent="0.25">
      <c r="B1332" s="2"/>
    </row>
    <row r="1333" spans="2:2" hidden="1" x14ac:dyDescent="0.25">
      <c r="B1333" s="2"/>
    </row>
    <row r="1334" spans="2:2" hidden="1" x14ac:dyDescent="0.25">
      <c r="B1334" s="2"/>
    </row>
    <row r="1335" spans="2:2" hidden="1" x14ac:dyDescent="0.25">
      <c r="B1335" s="2"/>
    </row>
    <row r="1336" spans="2:2" hidden="1" x14ac:dyDescent="0.25">
      <c r="B1336" s="2"/>
    </row>
    <row r="1337" spans="2:2" hidden="1" x14ac:dyDescent="0.25">
      <c r="B1337" s="2"/>
    </row>
    <row r="1338" spans="2:2" hidden="1" x14ac:dyDescent="0.25">
      <c r="B1338" s="2"/>
    </row>
    <row r="1339" spans="2:2" hidden="1" x14ac:dyDescent="0.25">
      <c r="B1339" s="2"/>
    </row>
    <row r="1340" spans="2:2" hidden="1" x14ac:dyDescent="0.25">
      <c r="B1340" s="2"/>
    </row>
    <row r="1341" spans="2:2" hidden="1" x14ac:dyDescent="0.25">
      <c r="B1341" s="2"/>
    </row>
    <row r="1342" spans="2:2" hidden="1" x14ac:dyDescent="0.25">
      <c r="B1342" s="2"/>
    </row>
    <row r="1343" spans="2:2" hidden="1" x14ac:dyDescent="0.25">
      <c r="B1343" s="2"/>
    </row>
    <row r="1344" spans="2:2" hidden="1" x14ac:dyDescent="0.25">
      <c r="B1344" s="2"/>
    </row>
    <row r="1345" spans="2:2" hidden="1" x14ac:dyDescent="0.25">
      <c r="B1345" s="2"/>
    </row>
    <row r="1346" spans="2:2" hidden="1" x14ac:dyDescent="0.25">
      <c r="B1346" s="2"/>
    </row>
    <row r="1347" spans="2:2" hidden="1" x14ac:dyDescent="0.25">
      <c r="B1347" s="2"/>
    </row>
    <row r="1348" spans="2:2" hidden="1" x14ac:dyDescent="0.25">
      <c r="B1348" s="2"/>
    </row>
    <row r="1349" spans="2:2" hidden="1" x14ac:dyDescent="0.25">
      <c r="B1349" s="2"/>
    </row>
    <row r="1350" spans="2:2" hidden="1" x14ac:dyDescent="0.25">
      <c r="B1350" s="2"/>
    </row>
    <row r="1351" spans="2:2" hidden="1" x14ac:dyDescent="0.25">
      <c r="B1351" s="2"/>
    </row>
    <row r="1352" spans="2:2" hidden="1" x14ac:dyDescent="0.25">
      <c r="B1352" s="2"/>
    </row>
    <row r="1353" spans="2:2" hidden="1" x14ac:dyDescent="0.25">
      <c r="B1353" s="2"/>
    </row>
    <row r="1354" spans="2:2" hidden="1" x14ac:dyDescent="0.25">
      <c r="B1354" s="2"/>
    </row>
    <row r="1355" spans="2:2" hidden="1" x14ac:dyDescent="0.25">
      <c r="B1355" s="2"/>
    </row>
    <row r="1356" spans="2:2" hidden="1" x14ac:dyDescent="0.25">
      <c r="B1356" s="2"/>
    </row>
    <row r="1357" spans="2:2" hidden="1" x14ac:dyDescent="0.25">
      <c r="B1357" s="2"/>
    </row>
    <row r="1358" spans="2:2" hidden="1" x14ac:dyDescent="0.25">
      <c r="B1358" s="2"/>
    </row>
    <row r="1359" spans="2:2" hidden="1" x14ac:dyDescent="0.25">
      <c r="B1359" s="2"/>
    </row>
    <row r="1360" spans="2:2" hidden="1" x14ac:dyDescent="0.25">
      <c r="B1360" s="2"/>
    </row>
    <row r="1361" spans="2:2" hidden="1" x14ac:dyDescent="0.25">
      <c r="B1361" s="2"/>
    </row>
    <row r="1362" spans="2:2" hidden="1" x14ac:dyDescent="0.25">
      <c r="B1362" s="2"/>
    </row>
    <row r="1363" spans="2:2" hidden="1" x14ac:dyDescent="0.25">
      <c r="B1363" s="2"/>
    </row>
    <row r="1364" spans="2:2" hidden="1" x14ac:dyDescent="0.25">
      <c r="B1364" s="2"/>
    </row>
    <row r="1365" spans="2:2" hidden="1" x14ac:dyDescent="0.25">
      <c r="B1365" s="2"/>
    </row>
    <row r="1366" spans="2:2" hidden="1" x14ac:dyDescent="0.25">
      <c r="B1366" s="2"/>
    </row>
    <row r="1367" spans="2:2" hidden="1" x14ac:dyDescent="0.25">
      <c r="B1367" s="2"/>
    </row>
    <row r="1368" spans="2:2" hidden="1" x14ac:dyDescent="0.25">
      <c r="B1368" s="2"/>
    </row>
    <row r="1369" spans="2:2" hidden="1" x14ac:dyDescent="0.25">
      <c r="B1369" s="2"/>
    </row>
    <row r="1370" spans="2:2" hidden="1" x14ac:dyDescent="0.25">
      <c r="B1370" s="2"/>
    </row>
    <row r="1371" spans="2:2" hidden="1" x14ac:dyDescent="0.25">
      <c r="B1371" s="2"/>
    </row>
    <row r="1372" spans="2:2" hidden="1" x14ac:dyDescent="0.25">
      <c r="B1372" s="2"/>
    </row>
    <row r="1373" spans="2:2" hidden="1" x14ac:dyDescent="0.25">
      <c r="B1373" s="2"/>
    </row>
    <row r="1374" spans="2:2" hidden="1" x14ac:dyDescent="0.25">
      <c r="B1374" s="2"/>
    </row>
    <row r="1375" spans="2:2" hidden="1" x14ac:dyDescent="0.25">
      <c r="B1375" s="2"/>
    </row>
    <row r="1376" spans="2:2" hidden="1" x14ac:dyDescent="0.25">
      <c r="B1376" s="2"/>
    </row>
    <row r="1377" spans="2:2" hidden="1" x14ac:dyDescent="0.25">
      <c r="B1377" s="2"/>
    </row>
    <row r="1378" spans="2:2" hidden="1" x14ac:dyDescent="0.25">
      <c r="B1378" s="2"/>
    </row>
    <row r="1379" spans="2:2" hidden="1" x14ac:dyDescent="0.25">
      <c r="B1379" s="2"/>
    </row>
    <row r="1380" spans="2:2" hidden="1" x14ac:dyDescent="0.25">
      <c r="B1380" s="2"/>
    </row>
    <row r="1381" spans="2:2" hidden="1" x14ac:dyDescent="0.25">
      <c r="B1381" s="2"/>
    </row>
    <row r="1382" spans="2:2" hidden="1" x14ac:dyDescent="0.25">
      <c r="B1382" s="2"/>
    </row>
    <row r="1383" spans="2:2" hidden="1" x14ac:dyDescent="0.25">
      <c r="B1383" s="2"/>
    </row>
    <row r="1384" spans="2:2" hidden="1" x14ac:dyDescent="0.25">
      <c r="B1384" s="2"/>
    </row>
    <row r="1385" spans="2:2" hidden="1" x14ac:dyDescent="0.25">
      <c r="B1385" s="2"/>
    </row>
    <row r="1386" spans="2:2" hidden="1" x14ac:dyDescent="0.25">
      <c r="B1386" s="2"/>
    </row>
    <row r="1387" spans="2:2" hidden="1" x14ac:dyDescent="0.25">
      <c r="B1387" s="2"/>
    </row>
    <row r="1388" spans="2:2" hidden="1" x14ac:dyDescent="0.25">
      <c r="B1388" s="2"/>
    </row>
    <row r="1389" spans="2:2" hidden="1" x14ac:dyDescent="0.25">
      <c r="B1389" s="2"/>
    </row>
    <row r="1390" spans="2:2" hidden="1" x14ac:dyDescent="0.25">
      <c r="B1390" s="2"/>
    </row>
    <row r="1391" spans="2:2" hidden="1" x14ac:dyDescent="0.25">
      <c r="B1391" s="2"/>
    </row>
    <row r="1392" spans="2:2" hidden="1" x14ac:dyDescent="0.25">
      <c r="B1392" s="2"/>
    </row>
    <row r="1393" spans="2:15" ht="81" hidden="1" customHeight="1" x14ac:dyDescent="0.25">
      <c r="B1393" s="2"/>
    </row>
    <row r="1394" spans="2:15" s="10" customFormat="1" x14ac:dyDescent="0.25">
      <c r="B1394" s="11"/>
      <c r="I1394" s="10">
        <f>SUBTOTAL(101,New_folder__2[temp])</f>
        <v>0.20589999999999961</v>
      </c>
      <c r="J1394" s="10">
        <f>SUBTOTAL(101,New_folder__2[atemp])</f>
        <v>0.21195783619818054</v>
      </c>
      <c r="K1394" s="10">
        <f>SUBTOTAL(101,New_folder__2[hum])</f>
        <v>0.58248000000000033</v>
      </c>
      <c r="L1394" s="10">
        <f>SUBTOTAL(101,New_folder__2[windspeed])</f>
        <v>0.25776294999999855</v>
      </c>
      <c r="M1394" s="10">
        <f>SUBTOTAL(109,New_folder__2[casual])</f>
        <v>4921</v>
      </c>
      <c r="N1394" s="10">
        <f>SUBTOTAL(109,New_folder__2[registered])</f>
        <v>53383</v>
      </c>
      <c r="O1394" s="10">
        <f>SUBTOTAL(109,New_folder__2[cnt])</f>
        <v>58304</v>
      </c>
    </row>
  </sheetData>
  <conditionalFormatting sqref="L1395:L1048576 L1:L1002 L1004:L1393">
    <cfRule type="iconSet" priority="4">
      <iconSet iconSet="3Arrows">
        <cfvo type="percent" val="0"/>
        <cfvo type="percent" val="33"/>
        <cfvo type="percent" val="67"/>
      </iconSet>
    </cfRule>
  </conditionalFormatting>
  <conditionalFormatting sqref="O1">
    <cfRule type="colorScale" priority="3">
      <colorScale>
        <cfvo type="min"/>
        <cfvo type="percentile" val="50"/>
        <cfvo type="max"/>
        <color rgb="FFF8696B"/>
        <color rgb="FFFFEB84"/>
        <color rgb="FF63BE7B"/>
      </colorScale>
    </cfRule>
  </conditionalFormatting>
  <conditionalFormatting sqref="O2:O1002 O1004:O1393">
    <cfRule type="colorScale" priority="7">
      <colorScale>
        <cfvo type="min"/>
        <cfvo type="max"/>
        <color rgb="FFFCFCFF"/>
        <color rgb="FF63BE7B"/>
      </colorScale>
    </cfRule>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A7DF0-F6BA-41EE-A6EE-4CA228983EF1}">
  <dimension ref="A1:GM299"/>
  <sheetViews>
    <sheetView topLeftCell="A70" zoomScale="80" zoomScaleNormal="80" workbookViewId="0">
      <selection activeCell="E4" sqref="E4"/>
    </sheetView>
  </sheetViews>
  <sheetFormatPr defaultRowHeight="15.75" x14ac:dyDescent="0.25"/>
  <cols>
    <col min="1" max="1" width="14.140625" style="5" bestFit="1" customWidth="1"/>
    <col min="2" max="2" width="10.7109375" style="5" bestFit="1" customWidth="1"/>
    <col min="3" max="3" width="15.5703125" style="5" bestFit="1" customWidth="1"/>
    <col min="4" max="4" width="14.42578125" style="5" bestFit="1" customWidth="1"/>
    <col min="5" max="5" width="19.140625" style="5" bestFit="1" customWidth="1"/>
    <col min="6" max="6" width="11.5703125" style="5" bestFit="1" customWidth="1"/>
    <col min="7" max="20" width="5" style="5" bestFit="1" customWidth="1"/>
    <col min="21" max="21" width="4" style="5" bestFit="1" customWidth="1"/>
    <col min="22" max="25" width="5" style="5" bestFit="1" customWidth="1"/>
    <col min="26" max="26" width="4" style="5" bestFit="1" customWidth="1"/>
    <col min="27" max="54" width="5" style="5" bestFit="1" customWidth="1"/>
    <col min="55" max="55" width="4" style="5" bestFit="1" customWidth="1"/>
    <col min="56" max="79" width="5" style="5" bestFit="1" customWidth="1"/>
    <col min="80" max="80" width="4" style="5" bestFit="1" customWidth="1"/>
    <col min="81" max="88" width="5" style="5" bestFit="1" customWidth="1"/>
    <col min="89" max="89" width="4" style="5" bestFit="1" customWidth="1"/>
    <col min="90" max="95" width="5" style="5" bestFit="1" customWidth="1"/>
    <col min="96" max="96" width="4" style="5" bestFit="1" customWidth="1"/>
    <col min="97" max="97" width="5" style="5" bestFit="1" customWidth="1"/>
    <col min="98" max="98" width="4" style="5" bestFit="1" customWidth="1"/>
    <col min="99" max="106" width="5" style="5" bestFit="1" customWidth="1"/>
    <col min="107" max="107" width="4" style="5" bestFit="1" customWidth="1"/>
    <col min="108" max="124" width="5" style="5" bestFit="1" customWidth="1"/>
    <col min="125" max="126" width="4" style="5" bestFit="1" customWidth="1"/>
    <col min="127" max="141" width="5" style="5" bestFit="1" customWidth="1"/>
    <col min="142" max="142" width="4" style="5" bestFit="1" customWidth="1"/>
    <col min="143" max="143" width="5" style="5" bestFit="1" customWidth="1"/>
    <col min="144" max="144" width="4" style="5" bestFit="1" customWidth="1"/>
    <col min="145" max="153" width="5" style="5" bestFit="1" customWidth="1"/>
    <col min="154" max="154" width="4" style="5" bestFit="1" customWidth="1"/>
    <col min="155" max="168" width="5" style="5" bestFit="1" customWidth="1"/>
    <col min="169" max="169" width="4" style="5" bestFit="1" customWidth="1"/>
    <col min="170" max="171" width="5" style="5" bestFit="1" customWidth="1"/>
    <col min="172" max="172" width="4" style="5" bestFit="1" customWidth="1"/>
    <col min="173" max="173" width="5" style="5" bestFit="1" customWidth="1"/>
    <col min="174" max="175" width="4" style="5" bestFit="1" customWidth="1"/>
    <col min="176" max="176" width="5" style="5" bestFit="1" customWidth="1"/>
    <col min="177" max="177" width="4" style="5" bestFit="1" customWidth="1"/>
    <col min="178" max="188" width="5" style="5" bestFit="1" customWidth="1"/>
    <col min="189" max="189" width="4" style="5" bestFit="1" customWidth="1"/>
    <col min="190" max="192" width="5" style="5" bestFit="1" customWidth="1"/>
    <col min="193" max="193" width="8" style="5" bestFit="1" customWidth="1"/>
    <col min="194" max="194" width="7.28515625" style="5" bestFit="1" customWidth="1"/>
    <col min="195" max="195" width="11.28515625" style="5" bestFit="1" customWidth="1"/>
    <col min="196" max="212" width="6.5703125" style="5" bestFit="1" customWidth="1"/>
    <col min="213" max="226" width="7" style="5" bestFit="1" customWidth="1"/>
    <col min="227" max="227" width="17.42578125" style="5" bestFit="1" customWidth="1"/>
    <col min="228" max="228" width="20.7109375" style="5" bestFit="1" customWidth="1"/>
    <col min="229" max="229" width="18.140625" style="5" bestFit="1" customWidth="1"/>
    <col min="230" max="230" width="22" style="5" bestFit="1" customWidth="1"/>
    <col min="231" max="231" width="15.28515625" style="5" bestFit="1" customWidth="1"/>
    <col min="232" max="16384" width="9.140625" style="5"/>
  </cols>
  <sheetData>
    <row r="1" spans="1:6" x14ac:dyDescent="0.25">
      <c r="A1" s="12" t="s">
        <v>78</v>
      </c>
      <c r="B1" s="13"/>
      <c r="C1" s="13"/>
      <c r="D1" s="13"/>
      <c r="E1" s="13"/>
      <c r="F1" s="13"/>
    </row>
    <row r="2" spans="1:6" x14ac:dyDescent="0.25">
      <c r="A2" s="13"/>
      <c r="B2" s="13"/>
      <c r="C2" s="13"/>
      <c r="D2" s="13"/>
      <c r="E2" s="13"/>
      <c r="F2" s="13"/>
    </row>
    <row r="4" spans="1:6" x14ac:dyDescent="0.25">
      <c r="A4" s="6" t="s">
        <v>16</v>
      </c>
      <c r="B4" s="5" t="s">
        <v>15</v>
      </c>
      <c r="C4" s="5" t="s">
        <v>22</v>
      </c>
      <c r="D4" s="5" t="s">
        <v>23</v>
      </c>
      <c r="E4" s="5" t="s">
        <v>24</v>
      </c>
      <c r="F4" s="5" t="s">
        <v>21</v>
      </c>
    </row>
    <row r="5" spans="1:6" x14ac:dyDescent="0.25">
      <c r="A5" s="7" t="s">
        <v>19</v>
      </c>
      <c r="B5" s="8">
        <v>1288</v>
      </c>
      <c r="C5" s="8">
        <v>2958</v>
      </c>
      <c r="D5" s="8">
        <v>4804</v>
      </c>
      <c r="E5" s="8">
        <v>52500</v>
      </c>
      <c r="F5" s="8">
        <v>57304</v>
      </c>
    </row>
    <row r="6" spans="1:6" x14ac:dyDescent="0.25">
      <c r="A6" s="9">
        <v>1</v>
      </c>
      <c r="B6" s="8">
        <v>664</v>
      </c>
      <c r="C6" s="8">
        <v>1994</v>
      </c>
      <c r="D6" s="8">
        <v>2956</v>
      </c>
      <c r="E6" s="8">
        <v>34233</v>
      </c>
      <c r="F6" s="8">
        <v>37189</v>
      </c>
    </row>
    <row r="7" spans="1:6" x14ac:dyDescent="0.25">
      <c r="A7" s="9">
        <v>2</v>
      </c>
      <c r="B7" s="8">
        <v>624</v>
      </c>
      <c r="C7" s="8">
        <v>964</v>
      </c>
      <c r="D7" s="8">
        <v>1848</v>
      </c>
      <c r="E7" s="8">
        <v>18267</v>
      </c>
      <c r="F7" s="8">
        <v>20115</v>
      </c>
    </row>
    <row r="8" spans="1:6" x14ac:dyDescent="0.25">
      <c r="A8" s="7" t="s">
        <v>79</v>
      </c>
      <c r="B8" s="8">
        <v>24</v>
      </c>
      <c r="C8" s="8">
        <v>24</v>
      </c>
      <c r="D8" s="8">
        <v>117</v>
      </c>
      <c r="E8" s="8">
        <v>883</v>
      </c>
      <c r="F8" s="8">
        <v>1000</v>
      </c>
    </row>
    <row r="9" spans="1:6" x14ac:dyDescent="0.25">
      <c r="A9" s="9">
        <v>1</v>
      </c>
      <c r="B9" s="8">
        <v>24</v>
      </c>
      <c r="C9" s="8">
        <v>24</v>
      </c>
      <c r="D9" s="8">
        <v>117</v>
      </c>
      <c r="E9" s="8">
        <v>883</v>
      </c>
      <c r="F9" s="8">
        <v>1000</v>
      </c>
    </row>
    <row r="10" spans="1:6" x14ac:dyDescent="0.25">
      <c r="A10" s="7" t="s">
        <v>17</v>
      </c>
      <c r="B10" s="8">
        <v>1312</v>
      </c>
      <c r="C10" s="8">
        <v>2982</v>
      </c>
      <c r="D10" s="8">
        <v>4921</v>
      </c>
      <c r="E10" s="8">
        <v>53383</v>
      </c>
      <c r="F10" s="8">
        <v>58304</v>
      </c>
    </row>
    <row r="11" spans="1:6" x14ac:dyDescent="0.25">
      <c r="A11"/>
      <c r="B11"/>
      <c r="C11"/>
      <c r="D11"/>
      <c r="E11"/>
      <c r="F11"/>
    </row>
    <row r="12" spans="1:6" x14ac:dyDescent="0.25">
      <c r="A12"/>
      <c r="B12"/>
      <c r="C12"/>
      <c r="D12"/>
      <c r="E12"/>
      <c r="F12"/>
    </row>
    <row r="27" spans="1:5" x14ac:dyDescent="0.25">
      <c r="A27" s="12" t="s">
        <v>71</v>
      </c>
      <c r="B27" s="12"/>
      <c r="C27" s="12"/>
      <c r="D27" s="12"/>
      <c r="E27" s="12"/>
    </row>
    <row r="28" spans="1:5" x14ac:dyDescent="0.25">
      <c r="A28" s="12"/>
      <c r="B28" s="12"/>
      <c r="C28" s="12"/>
      <c r="D28" s="12"/>
      <c r="E28" s="12"/>
    </row>
    <row r="30" spans="1:5" x14ac:dyDescent="0.25">
      <c r="A30" s="6" t="s">
        <v>16</v>
      </c>
      <c r="B30" s="5" t="s">
        <v>24</v>
      </c>
      <c r="C30" s="5" t="s">
        <v>23</v>
      </c>
      <c r="D30" s="5" t="s">
        <v>20</v>
      </c>
    </row>
    <row r="31" spans="1:5" x14ac:dyDescent="0.25">
      <c r="A31" s="7" t="s">
        <v>26</v>
      </c>
      <c r="B31" s="8">
        <v>654</v>
      </c>
      <c r="C31" s="8">
        <v>331</v>
      </c>
      <c r="D31" s="8">
        <v>7.5452000000000012</v>
      </c>
    </row>
    <row r="32" spans="1:5" x14ac:dyDescent="0.25">
      <c r="A32" s="7" t="s">
        <v>27</v>
      </c>
      <c r="B32" s="8">
        <v>670</v>
      </c>
      <c r="C32" s="8">
        <v>131</v>
      </c>
      <c r="D32" s="8">
        <v>6.6664000000000003</v>
      </c>
    </row>
    <row r="33" spans="1:4" x14ac:dyDescent="0.25">
      <c r="A33" s="7" t="s">
        <v>28</v>
      </c>
      <c r="B33" s="8">
        <v>1229</v>
      </c>
      <c r="C33" s="8">
        <v>120</v>
      </c>
      <c r="D33" s="8">
        <v>3.5608</v>
      </c>
    </row>
    <row r="34" spans="1:4" x14ac:dyDescent="0.25">
      <c r="A34" s="7" t="s">
        <v>29</v>
      </c>
      <c r="B34" s="8">
        <v>1454</v>
      </c>
      <c r="C34" s="8">
        <v>108</v>
      </c>
      <c r="D34" s="8">
        <v>4.6970000000000001</v>
      </c>
    </row>
    <row r="35" spans="1:4" x14ac:dyDescent="0.25">
      <c r="A35" s="7" t="s">
        <v>30</v>
      </c>
      <c r="B35" s="8">
        <v>1518</v>
      </c>
      <c r="C35" s="8">
        <v>82</v>
      </c>
      <c r="D35" s="8">
        <v>5.2732000000000001</v>
      </c>
    </row>
    <row r="36" spans="1:4" x14ac:dyDescent="0.25">
      <c r="A36" s="7" t="s">
        <v>31</v>
      </c>
      <c r="B36" s="8">
        <v>1518</v>
      </c>
      <c r="C36" s="8">
        <v>88</v>
      </c>
      <c r="D36" s="8">
        <v>5.3638000000000012</v>
      </c>
    </row>
    <row r="37" spans="1:4" x14ac:dyDescent="0.25">
      <c r="A37" s="7" t="s">
        <v>32</v>
      </c>
      <c r="B37" s="8">
        <v>1362</v>
      </c>
      <c r="C37" s="8">
        <v>148</v>
      </c>
      <c r="D37" s="8">
        <v>4.8033000000000001</v>
      </c>
    </row>
    <row r="38" spans="1:4" x14ac:dyDescent="0.25">
      <c r="A38" s="7" t="s">
        <v>33</v>
      </c>
      <c r="B38" s="8">
        <v>891</v>
      </c>
      <c r="C38" s="8">
        <v>68</v>
      </c>
      <c r="D38" s="8">
        <v>3.8941000000000003</v>
      </c>
    </row>
    <row r="39" spans="1:4" x14ac:dyDescent="0.25">
      <c r="A39" s="7" t="s">
        <v>34</v>
      </c>
      <c r="B39" s="8">
        <v>768</v>
      </c>
      <c r="C39" s="8">
        <v>54</v>
      </c>
      <c r="D39" s="8">
        <v>2.7882000000000007</v>
      </c>
    </row>
    <row r="40" spans="1:4" x14ac:dyDescent="0.25">
      <c r="A40" s="7" t="s">
        <v>35</v>
      </c>
      <c r="B40" s="8">
        <v>1280</v>
      </c>
      <c r="C40" s="8">
        <v>41</v>
      </c>
      <c r="D40" s="8">
        <v>3.6213000000000002</v>
      </c>
    </row>
    <row r="41" spans="1:4" x14ac:dyDescent="0.25">
      <c r="A41" s="7" t="s">
        <v>36</v>
      </c>
      <c r="B41" s="8">
        <v>1220</v>
      </c>
      <c r="C41" s="8">
        <v>43</v>
      </c>
      <c r="D41" s="8">
        <v>4.2122000000000002</v>
      </c>
    </row>
    <row r="42" spans="1:4" x14ac:dyDescent="0.25">
      <c r="A42" s="7" t="s">
        <v>37</v>
      </c>
      <c r="B42" s="8">
        <v>1137</v>
      </c>
      <c r="C42" s="8">
        <v>25</v>
      </c>
      <c r="D42" s="8">
        <v>3.5304000000000002</v>
      </c>
    </row>
    <row r="43" spans="1:4" x14ac:dyDescent="0.25">
      <c r="A43" s="7" t="s">
        <v>38</v>
      </c>
      <c r="B43" s="8">
        <v>1368</v>
      </c>
      <c r="C43" s="8">
        <v>38</v>
      </c>
      <c r="D43" s="8">
        <v>3.6212</v>
      </c>
    </row>
    <row r="44" spans="1:4" x14ac:dyDescent="0.25">
      <c r="A44" s="7" t="s">
        <v>39</v>
      </c>
      <c r="B44" s="8">
        <v>1367</v>
      </c>
      <c r="C44" s="8">
        <v>54</v>
      </c>
      <c r="D44" s="8">
        <v>4.3334999999999999</v>
      </c>
    </row>
    <row r="45" spans="1:4" x14ac:dyDescent="0.25">
      <c r="A45" s="7" t="s">
        <v>40</v>
      </c>
      <c r="B45" s="8">
        <v>1026</v>
      </c>
      <c r="C45" s="8">
        <v>222</v>
      </c>
      <c r="D45" s="8">
        <v>5.9546999999999999</v>
      </c>
    </row>
    <row r="46" spans="1:4" x14ac:dyDescent="0.25">
      <c r="A46" s="7" t="s">
        <v>41</v>
      </c>
      <c r="B46" s="8">
        <v>953</v>
      </c>
      <c r="C46" s="8">
        <v>251</v>
      </c>
      <c r="D46" s="8">
        <v>5.6212000000000009</v>
      </c>
    </row>
    <row r="47" spans="1:4" x14ac:dyDescent="0.25">
      <c r="A47" s="7" t="s">
        <v>80</v>
      </c>
      <c r="B47" s="8">
        <v>883</v>
      </c>
      <c r="C47" s="8">
        <v>117</v>
      </c>
      <c r="D47" s="8">
        <v>4.2425000000000006</v>
      </c>
    </row>
    <row r="48" spans="1:4" x14ac:dyDescent="0.25">
      <c r="A48" s="7" t="s">
        <v>42</v>
      </c>
      <c r="B48" s="8">
        <v>674</v>
      </c>
      <c r="C48" s="8">
        <v>9</v>
      </c>
      <c r="D48" s="8">
        <v>2.7880000000000003</v>
      </c>
    </row>
    <row r="49" spans="1:4" x14ac:dyDescent="0.25">
      <c r="A49" s="7" t="s">
        <v>43</v>
      </c>
      <c r="B49" s="8">
        <v>1572</v>
      </c>
      <c r="C49" s="8">
        <v>78</v>
      </c>
      <c r="D49" s="8">
        <v>6.8637000000000006</v>
      </c>
    </row>
    <row r="50" spans="1:4" x14ac:dyDescent="0.25">
      <c r="A50" s="7" t="s">
        <v>44</v>
      </c>
      <c r="B50" s="8">
        <v>1844</v>
      </c>
      <c r="C50" s="8">
        <v>83</v>
      </c>
      <c r="D50" s="8">
        <v>6.1212</v>
      </c>
    </row>
    <row r="51" spans="1:4" x14ac:dyDescent="0.25">
      <c r="A51" s="7" t="s">
        <v>45</v>
      </c>
      <c r="B51" s="8">
        <v>1468</v>
      </c>
      <c r="C51" s="8">
        <v>75</v>
      </c>
      <c r="D51" s="8">
        <v>3.7880000000000003</v>
      </c>
    </row>
    <row r="52" spans="1:4" x14ac:dyDescent="0.25">
      <c r="A52" s="7" t="s">
        <v>46</v>
      </c>
      <c r="B52" s="8">
        <v>888</v>
      </c>
      <c r="C52" s="8">
        <v>93</v>
      </c>
      <c r="D52" s="8">
        <v>1.8186000000000002</v>
      </c>
    </row>
    <row r="53" spans="1:4" x14ac:dyDescent="0.25">
      <c r="A53" s="7" t="s">
        <v>47</v>
      </c>
      <c r="B53" s="8">
        <v>836</v>
      </c>
      <c r="C53" s="8">
        <v>150</v>
      </c>
      <c r="D53" s="8">
        <v>2.2733000000000003</v>
      </c>
    </row>
    <row r="54" spans="1:4" x14ac:dyDescent="0.25">
      <c r="A54" s="7" t="s">
        <v>48</v>
      </c>
      <c r="B54" s="8">
        <v>1330</v>
      </c>
      <c r="C54" s="8">
        <v>86</v>
      </c>
      <c r="D54" s="8">
        <v>2.7124000000000006</v>
      </c>
    </row>
    <row r="55" spans="1:4" x14ac:dyDescent="0.25">
      <c r="A55" s="7" t="s">
        <v>49</v>
      </c>
      <c r="B55" s="8">
        <v>1799</v>
      </c>
      <c r="C55" s="8">
        <v>186</v>
      </c>
      <c r="D55" s="8">
        <v>5.3940999999999981</v>
      </c>
    </row>
    <row r="56" spans="1:4" x14ac:dyDescent="0.25">
      <c r="A56" s="7" t="s">
        <v>50</v>
      </c>
      <c r="B56" s="8">
        <v>472</v>
      </c>
      <c r="C56" s="8">
        <v>34</v>
      </c>
      <c r="D56" s="8">
        <v>3.2576000000000001</v>
      </c>
    </row>
    <row r="57" spans="1:4" x14ac:dyDescent="0.25">
      <c r="A57" s="7" t="s">
        <v>51</v>
      </c>
      <c r="B57" s="8">
        <v>416</v>
      </c>
      <c r="C57" s="8">
        <v>15</v>
      </c>
      <c r="D57" s="8">
        <v>1.7576000000000001</v>
      </c>
    </row>
    <row r="58" spans="1:4" x14ac:dyDescent="0.25">
      <c r="A58" s="7" t="s">
        <v>52</v>
      </c>
      <c r="B58" s="8">
        <v>1129</v>
      </c>
      <c r="C58" s="8">
        <v>38</v>
      </c>
      <c r="D58" s="8">
        <v>5.1362999999999994</v>
      </c>
    </row>
    <row r="59" spans="1:4" x14ac:dyDescent="0.25">
      <c r="A59" s="7" t="s">
        <v>53</v>
      </c>
      <c r="B59" s="8">
        <v>975</v>
      </c>
      <c r="C59" s="8">
        <v>123</v>
      </c>
      <c r="D59" s="8">
        <v>4.8789000000000016</v>
      </c>
    </row>
    <row r="60" spans="1:4" x14ac:dyDescent="0.25">
      <c r="A60" s="7" t="s">
        <v>54</v>
      </c>
      <c r="B60" s="8">
        <v>956</v>
      </c>
      <c r="C60" s="8">
        <v>140</v>
      </c>
      <c r="D60" s="8">
        <v>5.7573999999999996</v>
      </c>
    </row>
    <row r="61" spans="1:4" x14ac:dyDescent="0.25">
      <c r="A61" s="7" t="s">
        <v>55</v>
      </c>
      <c r="B61" s="8">
        <v>1459</v>
      </c>
      <c r="C61" s="8">
        <v>42</v>
      </c>
      <c r="D61" s="8">
        <v>4.4700000000000006</v>
      </c>
    </row>
    <row r="62" spans="1:4" x14ac:dyDescent="0.25">
      <c r="A62" s="7" t="s">
        <v>57</v>
      </c>
      <c r="B62" s="8">
        <v>1313</v>
      </c>
      <c r="C62" s="8">
        <v>47</v>
      </c>
      <c r="D62" s="8">
        <v>5.3941999999999997</v>
      </c>
    </row>
    <row r="63" spans="1:4" x14ac:dyDescent="0.25">
      <c r="A63" s="7" t="s">
        <v>58</v>
      </c>
      <c r="B63" s="8">
        <v>1454</v>
      </c>
      <c r="C63" s="8">
        <v>72</v>
      </c>
      <c r="D63" s="8">
        <v>6.1059999999999999</v>
      </c>
    </row>
    <row r="64" spans="1:4" x14ac:dyDescent="0.25">
      <c r="A64" s="7" t="s">
        <v>59</v>
      </c>
      <c r="B64" s="8">
        <v>1489</v>
      </c>
      <c r="C64" s="8">
        <v>61</v>
      </c>
      <c r="D64" s="8">
        <v>4.0911999999999997</v>
      </c>
    </row>
    <row r="65" spans="1:4" x14ac:dyDescent="0.25">
      <c r="A65" s="7" t="s">
        <v>60</v>
      </c>
      <c r="B65" s="8">
        <v>1620</v>
      </c>
      <c r="C65" s="8">
        <v>88</v>
      </c>
      <c r="D65" s="8">
        <v>5.2574999999999994</v>
      </c>
    </row>
    <row r="66" spans="1:4" x14ac:dyDescent="0.25">
      <c r="A66" s="7" t="s">
        <v>61</v>
      </c>
      <c r="B66" s="8">
        <v>905</v>
      </c>
      <c r="C66" s="8">
        <v>100</v>
      </c>
      <c r="D66" s="8">
        <v>5.8334000000000001</v>
      </c>
    </row>
    <row r="67" spans="1:4" x14ac:dyDescent="0.25">
      <c r="A67" s="7" t="s">
        <v>62</v>
      </c>
      <c r="B67" s="8">
        <v>1269</v>
      </c>
      <c r="C67" s="8">
        <v>354</v>
      </c>
      <c r="D67" s="8">
        <v>7.0000999999999971</v>
      </c>
    </row>
    <row r="68" spans="1:4" x14ac:dyDescent="0.25">
      <c r="A68" s="7" t="s">
        <v>63</v>
      </c>
      <c r="B68" s="8">
        <v>1592</v>
      </c>
      <c r="C68" s="8">
        <v>120</v>
      </c>
      <c r="D68" s="8">
        <v>7.2878000000000007</v>
      </c>
    </row>
    <row r="69" spans="1:4" x14ac:dyDescent="0.25">
      <c r="A69" s="7" t="s">
        <v>64</v>
      </c>
      <c r="B69" s="8">
        <v>1466</v>
      </c>
      <c r="C69" s="8">
        <v>64</v>
      </c>
      <c r="D69" s="8">
        <v>4.7578999999999994</v>
      </c>
    </row>
    <row r="70" spans="1:4" x14ac:dyDescent="0.25">
      <c r="A70" s="7" t="s">
        <v>65</v>
      </c>
      <c r="B70" s="8">
        <v>1552</v>
      </c>
      <c r="C70" s="8">
        <v>53</v>
      </c>
      <c r="D70" s="8">
        <v>3.3185000000000002</v>
      </c>
    </row>
    <row r="71" spans="1:4" x14ac:dyDescent="0.25">
      <c r="A71" s="7" t="s">
        <v>66</v>
      </c>
      <c r="B71" s="8">
        <v>1491</v>
      </c>
      <c r="C71" s="8">
        <v>47</v>
      </c>
      <c r="D71" s="8">
        <v>3.4396</v>
      </c>
    </row>
    <row r="72" spans="1:4" x14ac:dyDescent="0.25">
      <c r="A72" s="7" t="s">
        <v>67</v>
      </c>
      <c r="B72" s="8">
        <v>1597</v>
      </c>
      <c r="C72" s="8">
        <v>149</v>
      </c>
      <c r="D72" s="8">
        <v>4.6971999999999996</v>
      </c>
    </row>
    <row r="73" spans="1:4" x14ac:dyDescent="0.25">
      <c r="A73" s="7" t="s">
        <v>68</v>
      </c>
      <c r="B73" s="8">
        <v>1184</v>
      </c>
      <c r="C73" s="8">
        <v>288</v>
      </c>
      <c r="D73" s="8">
        <v>5.5908999999999995</v>
      </c>
    </row>
    <row r="74" spans="1:4" x14ac:dyDescent="0.25">
      <c r="A74" s="7" t="s">
        <v>69</v>
      </c>
      <c r="B74" s="8">
        <v>1192</v>
      </c>
      <c r="C74" s="8">
        <v>397</v>
      </c>
      <c r="D74" s="8">
        <v>7.4546000000000028</v>
      </c>
    </row>
    <row r="75" spans="1:4" x14ac:dyDescent="0.25">
      <c r="A75" s="7" t="s">
        <v>70</v>
      </c>
      <c r="B75" s="8">
        <v>143</v>
      </c>
      <c r="C75" s="8">
        <v>8</v>
      </c>
      <c r="D75" s="8">
        <v>2.6513</v>
      </c>
    </row>
    <row r="76" spans="1:4" x14ac:dyDescent="0.25">
      <c r="A76" s="7" t="s">
        <v>17</v>
      </c>
      <c r="B76" s="8">
        <v>53383</v>
      </c>
      <c r="C76" s="8">
        <v>4921</v>
      </c>
      <c r="D76" s="8">
        <v>209.62630000000004</v>
      </c>
    </row>
    <row r="77" spans="1:4" x14ac:dyDescent="0.25">
      <c r="A77"/>
      <c r="B77"/>
      <c r="C77"/>
      <c r="D77"/>
    </row>
    <row r="78" spans="1:4" x14ac:dyDescent="0.25">
      <c r="A78" s="12" t="s">
        <v>74</v>
      </c>
      <c r="B78" s="13"/>
      <c r="C78" s="13"/>
      <c r="D78" s="13"/>
    </row>
    <row r="79" spans="1:4" x14ac:dyDescent="0.25">
      <c r="A79" s="13"/>
      <c r="B79" s="13"/>
      <c r="C79" s="13"/>
      <c r="D79" s="13"/>
    </row>
    <row r="81" spans="1:195" x14ac:dyDescent="0.25">
      <c r="A81" s="3" t="s">
        <v>16</v>
      </c>
      <c r="B81" t="s">
        <v>21</v>
      </c>
      <c r="C81" t="s">
        <v>73</v>
      </c>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row>
    <row r="82" spans="1:195" x14ac:dyDescent="0.25">
      <c r="A82" s="4" t="s">
        <v>19</v>
      </c>
      <c r="B82" s="1">
        <v>57304</v>
      </c>
      <c r="C82" s="1">
        <v>0.58358606557377035</v>
      </c>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row>
    <row r="83" spans="1:195" x14ac:dyDescent="0.25">
      <c r="A83" s="4" t="s">
        <v>79</v>
      </c>
      <c r="B83" s="1">
        <v>1000</v>
      </c>
      <c r="C83" s="1">
        <v>0.53749999999999998</v>
      </c>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row>
    <row r="84" spans="1:195" x14ac:dyDescent="0.25">
      <c r="A84" s="4" t="s">
        <v>17</v>
      </c>
      <c r="B84" s="1">
        <v>58304</v>
      </c>
      <c r="C84" s="1">
        <v>0.58247999999999955</v>
      </c>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row>
    <row r="85" spans="1:195" x14ac:dyDescent="0.25">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row>
    <row r="86" spans="1:195" x14ac:dyDescent="0.25">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row>
    <row r="87" spans="1:195" x14ac:dyDescent="0.25">
      <c r="A87"/>
      <c r="B87"/>
      <c r="C87"/>
    </row>
    <row r="88" spans="1:195" x14ac:dyDescent="0.25">
      <c r="A88"/>
      <c r="B88"/>
      <c r="C88"/>
    </row>
    <row r="89" spans="1:195" x14ac:dyDescent="0.25">
      <c r="A89"/>
      <c r="B89"/>
      <c r="C89"/>
    </row>
    <row r="90" spans="1:195" x14ac:dyDescent="0.25">
      <c r="A90"/>
      <c r="B90"/>
      <c r="C90"/>
    </row>
    <row r="91" spans="1:195" x14ac:dyDescent="0.25">
      <c r="A91"/>
      <c r="B91"/>
      <c r="C91"/>
    </row>
    <row r="92" spans="1:195" x14ac:dyDescent="0.25">
      <c r="A92"/>
      <c r="B92"/>
      <c r="C92"/>
    </row>
    <row r="93" spans="1:195" x14ac:dyDescent="0.25">
      <c r="A93"/>
      <c r="B93"/>
      <c r="C93"/>
    </row>
    <row r="94" spans="1:195" x14ac:dyDescent="0.25">
      <c r="A94"/>
      <c r="B94"/>
      <c r="C94"/>
    </row>
    <row r="95" spans="1:195" x14ac:dyDescent="0.25">
      <c r="A95"/>
      <c r="B95"/>
      <c r="C95"/>
    </row>
    <row r="96" spans="1:195" x14ac:dyDescent="0.25">
      <c r="A96"/>
      <c r="B96"/>
      <c r="C96"/>
    </row>
    <row r="97" spans="1:3" x14ac:dyDescent="0.25">
      <c r="A97"/>
      <c r="B97"/>
      <c r="C97"/>
    </row>
    <row r="98" spans="1:3" x14ac:dyDescent="0.25">
      <c r="A98"/>
      <c r="B98"/>
      <c r="C98"/>
    </row>
    <row r="99" spans="1:3" x14ac:dyDescent="0.25">
      <c r="A99"/>
      <c r="B99"/>
    </row>
    <row r="100" spans="1:3" x14ac:dyDescent="0.25">
      <c r="A100"/>
      <c r="B100"/>
    </row>
    <row r="101" spans="1:3" x14ac:dyDescent="0.25">
      <c r="A101"/>
      <c r="B101"/>
    </row>
    <row r="102" spans="1:3" x14ac:dyDescent="0.25">
      <c r="A102"/>
      <c r="B102"/>
    </row>
    <row r="103" spans="1:3" x14ac:dyDescent="0.25">
      <c r="A103"/>
      <c r="B103"/>
    </row>
    <row r="104" spans="1:3" x14ac:dyDescent="0.25">
      <c r="A104"/>
      <c r="B104"/>
    </row>
    <row r="105" spans="1:3" x14ac:dyDescent="0.25">
      <c r="A105"/>
      <c r="B105"/>
    </row>
    <row r="106" spans="1:3" x14ac:dyDescent="0.25">
      <c r="A106"/>
      <c r="B106"/>
    </row>
    <row r="107" spans="1:3" x14ac:dyDescent="0.25">
      <c r="A107"/>
      <c r="B107"/>
    </row>
    <row r="108" spans="1:3" x14ac:dyDescent="0.25">
      <c r="A108"/>
      <c r="B108"/>
    </row>
    <row r="109" spans="1:3" x14ac:dyDescent="0.25">
      <c r="A109"/>
      <c r="B109"/>
    </row>
    <row r="110" spans="1:3" x14ac:dyDescent="0.25">
      <c r="A110"/>
      <c r="B110"/>
    </row>
    <row r="111" spans="1:3" x14ac:dyDescent="0.25">
      <c r="A111"/>
      <c r="B111"/>
    </row>
    <row r="112" spans="1:3" x14ac:dyDescent="0.25">
      <c r="A112"/>
      <c r="B112"/>
    </row>
    <row r="113" spans="1:2" x14ac:dyDescent="0.25">
      <c r="A113"/>
      <c r="B113"/>
    </row>
    <row r="114" spans="1:2" x14ac:dyDescent="0.25">
      <c r="A114"/>
      <c r="B114"/>
    </row>
    <row r="115" spans="1:2" x14ac:dyDescent="0.25">
      <c r="A115"/>
      <c r="B115"/>
    </row>
    <row r="116" spans="1:2" x14ac:dyDescent="0.25">
      <c r="A116"/>
      <c r="B116"/>
    </row>
    <row r="117" spans="1:2" x14ac:dyDescent="0.25">
      <c r="A117"/>
      <c r="B117"/>
    </row>
    <row r="118" spans="1:2" x14ac:dyDescent="0.25">
      <c r="A118"/>
      <c r="B118"/>
    </row>
    <row r="119" spans="1:2" x14ac:dyDescent="0.25">
      <c r="A119"/>
      <c r="B119"/>
    </row>
    <row r="120" spans="1:2" x14ac:dyDescent="0.25">
      <c r="A120"/>
      <c r="B120"/>
    </row>
    <row r="121" spans="1:2" x14ac:dyDescent="0.25">
      <c r="A121"/>
      <c r="B121"/>
    </row>
    <row r="122" spans="1:2" x14ac:dyDescent="0.25">
      <c r="A122"/>
      <c r="B122"/>
    </row>
    <row r="123" spans="1:2" x14ac:dyDescent="0.25">
      <c r="A123"/>
      <c r="B123"/>
    </row>
    <row r="124" spans="1:2" x14ac:dyDescent="0.25">
      <c r="A124"/>
      <c r="B124"/>
    </row>
    <row r="125" spans="1:2" x14ac:dyDescent="0.25">
      <c r="A125"/>
      <c r="B125"/>
    </row>
    <row r="126" spans="1:2" x14ac:dyDescent="0.25">
      <c r="A126"/>
      <c r="B126"/>
    </row>
    <row r="127" spans="1:2" x14ac:dyDescent="0.25">
      <c r="A127"/>
      <c r="B127"/>
    </row>
    <row r="128" spans="1:2" x14ac:dyDescent="0.25">
      <c r="A128"/>
      <c r="B128"/>
    </row>
    <row r="129" spans="1:2" x14ac:dyDescent="0.25">
      <c r="A129"/>
      <c r="B129"/>
    </row>
    <row r="130" spans="1:2" x14ac:dyDescent="0.25">
      <c r="A130"/>
      <c r="B130"/>
    </row>
    <row r="131" spans="1:2" x14ac:dyDescent="0.25">
      <c r="A131"/>
      <c r="B131"/>
    </row>
    <row r="132" spans="1:2" x14ac:dyDescent="0.25">
      <c r="A132"/>
      <c r="B132"/>
    </row>
    <row r="133" spans="1:2" x14ac:dyDescent="0.25">
      <c r="A133"/>
      <c r="B133"/>
    </row>
    <row r="134" spans="1:2" x14ac:dyDescent="0.25">
      <c r="A134"/>
      <c r="B134"/>
    </row>
    <row r="135" spans="1:2" x14ac:dyDescent="0.25">
      <c r="A135"/>
      <c r="B135"/>
    </row>
    <row r="136" spans="1:2" x14ac:dyDescent="0.25">
      <c r="A136"/>
      <c r="B136"/>
    </row>
    <row r="137" spans="1:2" x14ac:dyDescent="0.25">
      <c r="A137"/>
      <c r="B137"/>
    </row>
    <row r="138" spans="1:2" x14ac:dyDescent="0.25">
      <c r="A138"/>
      <c r="B138"/>
    </row>
    <row r="139" spans="1:2" x14ac:dyDescent="0.25">
      <c r="A139"/>
      <c r="B139"/>
    </row>
    <row r="140" spans="1:2" x14ac:dyDescent="0.25">
      <c r="A140"/>
      <c r="B140"/>
    </row>
    <row r="141" spans="1:2" x14ac:dyDescent="0.25">
      <c r="A141"/>
      <c r="B141"/>
    </row>
    <row r="142" spans="1:2" x14ac:dyDescent="0.25">
      <c r="A142"/>
      <c r="B142"/>
    </row>
    <row r="143" spans="1:2" x14ac:dyDescent="0.25">
      <c r="A143"/>
      <c r="B143"/>
    </row>
    <row r="144" spans="1:2" x14ac:dyDescent="0.25">
      <c r="A144"/>
      <c r="B144"/>
    </row>
    <row r="145" spans="1:2" x14ac:dyDescent="0.25">
      <c r="A145"/>
      <c r="B145"/>
    </row>
    <row r="146" spans="1:2" x14ac:dyDescent="0.25">
      <c r="A146"/>
      <c r="B146"/>
    </row>
    <row r="147" spans="1:2" x14ac:dyDescent="0.25">
      <c r="A147"/>
      <c r="B147"/>
    </row>
    <row r="148" spans="1:2" x14ac:dyDescent="0.25">
      <c r="A148"/>
      <c r="B148"/>
    </row>
    <row r="149" spans="1:2" x14ac:dyDescent="0.25">
      <c r="A149"/>
      <c r="B149"/>
    </row>
    <row r="150" spans="1:2" x14ac:dyDescent="0.25">
      <c r="A150"/>
      <c r="B150"/>
    </row>
    <row r="151" spans="1:2" x14ac:dyDescent="0.25">
      <c r="A151"/>
      <c r="B151"/>
    </row>
    <row r="152" spans="1:2" x14ac:dyDescent="0.25">
      <c r="A152"/>
      <c r="B152"/>
    </row>
    <row r="153" spans="1:2" x14ac:dyDescent="0.25">
      <c r="A153"/>
      <c r="B153"/>
    </row>
    <row r="154" spans="1:2" x14ac:dyDescent="0.25">
      <c r="A154"/>
      <c r="B154"/>
    </row>
    <row r="155" spans="1:2" x14ac:dyDescent="0.25">
      <c r="A155"/>
      <c r="B155"/>
    </row>
    <row r="156" spans="1:2" x14ac:dyDescent="0.25">
      <c r="A156"/>
      <c r="B156"/>
    </row>
    <row r="157" spans="1:2" x14ac:dyDescent="0.25">
      <c r="A157"/>
      <c r="B157"/>
    </row>
    <row r="158" spans="1:2" x14ac:dyDescent="0.25">
      <c r="A158"/>
      <c r="B158"/>
    </row>
    <row r="159" spans="1:2" x14ac:dyDescent="0.25">
      <c r="A159"/>
      <c r="B159"/>
    </row>
    <row r="160" spans="1:2" x14ac:dyDescent="0.25">
      <c r="A160"/>
      <c r="B160"/>
    </row>
    <row r="161" spans="1:2" x14ac:dyDescent="0.25">
      <c r="A161"/>
      <c r="B161"/>
    </row>
    <row r="162" spans="1:2" x14ac:dyDescent="0.25">
      <c r="A162"/>
      <c r="B162"/>
    </row>
    <row r="163" spans="1:2" x14ac:dyDescent="0.25">
      <c r="A163"/>
      <c r="B163"/>
    </row>
    <row r="164" spans="1:2" x14ac:dyDescent="0.25">
      <c r="A164"/>
      <c r="B164"/>
    </row>
    <row r="165" spans="1:2" x14ac:dyDescent="0.25">
      <c r="A165"/>
      <c r="B165"/>
    </row>
    <row r="166" spans="1:2" x14ac:dyDescent="0.25">
      <c r="A166"/>
      <c r="B166"/>
    </row>
    <row r="167" spans="1:2" x14ac:dyDescent="0.25">
      <c r="A167"/>
      <c r="B167"/>
    </row>
    <row r="168" spans="1:2" x14ac:dyDescent="0.25">
      <c r="A168"/>
      <c r="B168"/>
    </row>
    <row r="169" spans="1:2" x14ac:dyDescent="0.25">
      <c r="A169"/>
      <c r="B169"/>
    </row>
    <row r="170" spans="1:2" x14ac:dyDescent="0.25">
      <c r="A170"/>
      <c r="B170"/>
    </row>
    <row r="171" spans="1:2" x14ac:dyDescent="0.25">
      <c r="A171"/>
      <c r="B171"/>
    </row>
    <row r="172" spans="1:2" x14ac:dyDescent="0.25">
      <c r="A172"/>
      <c r="B172"/>
    </row>
    <row r="173" spans="1:2" x14ac:dyDescent="0.25">
      <c r="A173"/>
      <c r="B173"/>
    </row>
    <row r="174" spans="1:2" x14ac:dyDescent="0.25">
      <c r="A174"/>
      <c r="B174"/>
    </row>
    <row r="175" spans="1:2" x14ac:dyDescent="0.25">
      <c r="A175"/>
      <c r="B175"/>
    </row>
    <row r="176" spans="1:2" x14ac:dyDescent="0.25">
      <c r="A176"/>
      <c r="B176"/>
    </row>
    <row r="177" spans="1:2" x14ac:dyDescent="0.25">
      <c r="A177"/>
      <c r="B177"/>
    </row>
    <row r="178" spans="1:2" x14ac:dyDescent="0.25">
      <c r="A178"/>
      <c r="B178"/>
    </row>
    <row r="179" spans="1:2" x14ac:dyDescent="0.25">
      <c r="A179"/>
      <c r="B179"/>
    </row>
    <row r="180" spans="1:2" x14ac:dyDescent="0.25">
      <c r="A180"/>
      <c r="B180"/>
    </row>
    <row r="181" spans="1:2" x14ac:dyDescent="0.25">
      <c r="A181"/>
      <c r="B181"/>
    </row>
    <row r="182" spans="1:2" x14ac:dyDescent="0.25">
      <c r="A182"/>
      <c r="B182"/>
    </row>
    <row r="183" spans="1:2" x14ac:dyDescent="0.25">
      <c r="A183"/>
      <c r="B183"/>
    </row>
    <row r="184" spans="1:2" x14ac:dyDescent="0.25">
      <c r="A184"/>
      <c r="B184"/>
    </row>
    <row r="185" spans="1:2" x14ac:dyDescent="0.25">
      <c r="A185"/>
      <c r="B185"/>
    </row>
    <row r="186" spans="1:2" x14ac:dyDescent="0.25">
      <c r="A186"/>
      <c r="B186"/>
    </row>
    <row r="187" spans="1:2" x14ac:dyDescent="0.25">
      <c r="A187"/>
      <c r="B187"/>
    </row>
    <row r="188" spans="1:2" x14ac:dyDescent="0.25">
      <c r="A188"/>
      <c r="B188"/>
    </row>
    <row r="189" spans="1:2" x14ac:dyDescent="0.25">
      <c r="A189"/>
      <c r="B189"/>
    </row>
    <row r="190" spans="1:2" x14ac:dyDescent="0.25">
      <c r="A190"/>
      <c r="B190"/>
    </row>
    <row r="191" spans="1:2" x14ac:dyDescent="0.25">
      <c r="A191"/>
      <c r="B191"/>
    </row>
    <row r="192" spans="1:2" x14ac:dyDescent="0.25">
      <c r="A192"/>
      <c r="B192"/>
    </row>
    <row r="193" spans="1:2" x14ac:dyDescent="0.25">
      <c r="A193"/>
      <c r="B193"/>
    </row>
    <row r="194" spans="1:2" x14ac:dyDescent="0.25">
      <c r="A194"/>
      <c r="B194"/>
    </row>
    <row r="195" spans="1:2" x14ac:dyDescent="0.25">
      <c r="A195"/>
      <c r="B195"/>
    </row>
    <row r="196" spans="1:2" x14ac:dyDescent="0.25">
      <c r="A196"/>
      <c r="B196"/>
    </row>
    <row r="197" spans="1:2" x14ac:dyDescent="0.25">
      <c r="A197"/>
      <c r="B197"/>
    </row>
    <row r="198" spans="1:2" x14ac:dyDescent="0.25">
      <c r="A198"/>
      <c r="B198"/>
    </row>
    <row r="199" spans="1:2" x14ac:dyDescent="0.25">
      <c r="A199"/>
      <c r="B199"/>
    </row>
    <row r="200" spans="1:2" x14ac:dyDescent="0.25">
      <c r="A200"/>
      <c r="B200"/>
    </row>
    <row r="201" spans="1:2" x14ac:dyDescent="0.25">
      <c r="A201"/>
      <c r="B201"/>
    </row>
    <row r="202" spans="1:2" x14ac:dyDescent="0.25">
      <c r="A202"/>
      <c r="B202"/>
    </row>
    <row r="203" spans="1:2" x14ac:dyDescent="0.25">
      <c r="A203"/>
      <c r="B203"/>
    </row>
    <row r="204" spans="1:2" x14ac:dyDescent="0.25">
      <c r="A204"/>
      <c r="B204"/>
    </row>
    <row r="205" spans="1:2" x14ac:dyDescent="0.25">
      <c r="A205"/>
      <c r="B205"/>
    </row>
    <row r="206" spans="1:2" x14ac:dyDescent="0.25">
      <c r="A206"/>
      <c r="B206"/>
    </row>
    <row r="207" spans="1:2" x14ac:dyDescent="0.25">
      <c r="A207"/>
      <c r="B207"/>
    </row>
    <row r="208" spans="1:2" x14ac:dyDescent="0.25">
      <c r="A208"/>
      <c r="B208"/>
    </row>
    <row r="209" spans="1:2" x14ac:dyDescent="0.25">
      <c r="A209"/>
      <c r="B209"/>
    </row>
    <row r="210" spans="1:2" x14ac:dyDescent="0.25">
      <c r="A210"/>
      <c r="B210"/>
    </row>
    <row r="211" spans="1:2" x14ac:dyDescent="0.25">
      <c r="A211"/>
      <c r="B211"/>
    </row>
    <row r="212" spans="1:2" x14ac:dyDescent="0.25">
      <c r="A212"/>
      <c r="B212"/>
    </row>
    <row r="213" spans="1:2" x14ac:dyDescent="0.25">
      <c r="A213"/>
      <c r="B213"/>
    </row>
    <row r="214" spans="1:2" x14ac:dyDescent="0.25">
      <c r="A214"/>
      <c r="B214"/>
    </row>
    <row r="215" spans="1:2" x14ac:dyDescent="0.25">
      <c r="A215"/>
      <c r="B215"/>
    </row>
    <row r="216" spans="1:2" x14ac:dyDescent="0.25">
      <c r="A216"/>
      <c r="B216"/>
    </row>
    <row r="217" spans="1:2" x14ac:dyDescent="0.25">
      <c r="A217"/>
      <c r="B217"/>
    </row>
    <row r="218" spans="1:2" x14ac:dyDescent="0.25">
      <c r="A218"/>
      <c r="B218"/>
    </row>
    <row r="219" spans="1:2" x14ac:dyDescent="0.25">
      <c r="A219"/>
      <c r="B219"/>
    </row>
    <row r="220" spans="1:2" x14ac:dyDescent="0.25">
      <c r="A220"/>
      <c r="B220"/>
    </row>
    <row r="221" spans="1:2" x14ac:dyDescent="0.25">
      <c r="A221"/>
      <c r="B221"/>
    </row>
    <row r="222" spans="1:2" x14ac:dyDescent="0.25">
      <c r="A222"/>
      <c r="B222"/>
    </row>
    <row r="223" spans="1:2" x14ac:dyDescent="0.25">
      <c r="A223"/>
      <c r="B223"/>
    </row>
    <row r="224" spans="1:2" x14ac:dyDescent="0.25">
      <c r="A224"/>
      <c r="B224"/>
    </row>
    <row r="225" spans="1:2" x14ac:dyDescent="0.25">
      <c r="A225"/>
      <c r="B225"/>
    </row>
    <row r="226" spans="1:2" x14ac:dyDescent="0.25">
      <c r="A226"/>
      <c r="B226"/>
    </row>
    <row r="227" spans="1:2" x14ac:dyDescent="0.25">
      <c r="A227"/>
      <c r="B227"/>
    </row>
    <row r="228" spans="1:2" x14ac:dyDescent="0.25">
      <c r="A228"/>
      <c r="B228"/>
    </row>
    <row r="229" spans="1:2" x14ac:dyDescent="0.25">
      <c r="A229"/>
      <c r="B229"/>
    </row>
    <row r="230" spans="1:2" x14ac:dyDescent="0.25">
      <c r="A230"/>
      <c r="B230"/>
    </row>
    <row r="231" spans="1:2" x14ac:dyDescent="0.25">
      <c r="A231"/>
      <c r="B231"/>
    </row>
    <row r="232" spans="1:2" x14ac:dyDescent="0.25">
      <c r="A232"/>
      <c r="B232"/>
    </row>
    <row r="233" spans="1:2" x14ac:dyDescent="0.25">
      <c r="A233"/>
      <c r="B233"/>
    </row>
    <row r="234" spans="1:2" x14ac:dyDescent="0.25">
      <c r="A234"/>
      <c r="B234"/>
    </row>
    <row r="235" spans="1:2" x14ac:dyDescent="0.25">
      <c r="A235"/>
      <c r="B235"/>
    </row>
    <row r="236" spans="1:2" x14ac:dyDescent="0.25">
      <c r="A236"/>
      <c r="B236"/>
    </row>
    <row r="237" spans="1:2" x14ac:dyDescent="0.25">
      <c r="A237"/>
      <c r="B237"/>
    </row>
    <row r="238" spans="1:2" x14ac:dyDescent="0.25">
      <c r="A238"/>
      <c r="B238"/>
    </row>
    <row r="239" spans="1:2" x14ac:dyDescent="0.25">
      <c r="A239"/>
      <c r="B239"/>
    </row>
    <row r="240" spans="1:2" x14ac:dyDescent="0.25">
      <c r="A240"/>
      <c r="B240"/>
    </row>
    <row r="241" spans="1:2" x14ac:dyDescent="0.25">
      <c r="A241"/>
      <c r="B241"/>
    </row>
    <row r="242" spans="1:2" x14ac:dyDescent="0.25">
      <c r="A242"/>
      <c r="B242"/>
    </row>
    <row r="243" spans="1:2" x14ac:dyDescent="0.25">
      <c r="A243"/>
      <c r="B243"/>
    </row>
    <row r="244" spans="1:2" x14ac:dyDescent="0.25">
      <c r="A244"/>
      <c r="B244"/>
    </row>
    <row r="245" spans="1:2" x14ac:dyDescent="0.25">
      <c r="A245"/>
      <c r="B245"/>
    </row>
    <row r="246" spans="1:2" x14ac:dyDescent="0.25">
      <c r="A246"/>
      <c r="B246"/>
    </row>
    <row r="247" spans="1:2" x14ac:dyDescent="0.25">
      <c r="A247"/>
      <c r="B247"/>
    </row>
    <row r="248" spans="1:2" x14ac:dyDescent="0.25">
      <c r="A248"/>
      <c r="B248"/>
    </row>
    <row r="249" spans="1:2" x14ac:dyDescent="0.25">
      <c r="A249"/>
      <c r="B249"/>
    </row>
    <row r="250" spans="1:2" x14ac:dyDescent="0.25">
      <c r="A250"/>
      <c r="B250"/>
    </row>
    <row r="251" spans="1:2" x14ac:dyDescent="0.25">
      <c r="A251"/>
      <c r="B251"/>
    </row>
    <row r="252" spans="1:2" x14ac:dyDescent="0.25">
      <c r="A252"/>
      <c r="B252"/>
    </row>
    <row r="253" spans="1:2" x14ac:dyDescent="0.25">
      <c r="A253"/>
      <c r="B253"/>
    </row>
    <row r="254" spans="1:2" x14ac:dyDescent="0.25">
      <c r="A254"/>
      <c r="B254"/>
    </row>
    <row r="255" spans="1:2" x14ac:dyDescent="0.25">
      <c r="A255"/>
      <c r="B255"/>
    </row>
    <row r="256" spans="1:2" x14ac:dyDescent="0.25">
      <c r="A256"/>
      <c r="B256"/>
    </row>
    <row r="257" spans="1:2" x14ac:dyDescent="0.25">
      <c r="A257"/>
      <c r="B257"/>
    </row>
    <row r="258" spans="1:2" x14ac:dyDescent="0.25">
      <c r="A258"/>
      <c r="B258"/>
    </row>
    <row r="259" spans="1:2" x14ac:dyDescent="0.25">
      <c r="A259"/>
      <c r="B259"/>
    </row>
    <row r="260" spans="1:2" x14ac:dyDescent="0.25">
      <c r="A260"/>
      <c r="B260"/>
    </row>
    <row r="261" spans="1:2" x14ac:dyDescent="0.25">
      <c r="A261"/>
      <c r="B261"/>
    </row>
    <row r="262" spans="1:2" x14ac:dyDescent="0.25">
      <c r="A262"/>
      <c r="B262"/>
    </row>
    <row r="263" spans="1:2" x14ac:dyDescent="0.25">
      <c r="A263"/>
      <c r="B263"/>
    </row>
    <row r="264" spans="1:2" x14ac:dyDescent="0.25">
      <c r="A264"/>
      <c r="B264"/>
    </row>
    <row r="265" spans="1:2" x14ac:dyDescent="0.25">
      <c r="A265"/>
      <c r="B265"/>
    </row>
    <row r="266" spans="1:2" x14ac:dyDescent="0.25">
      <c r="A266"/>
      <c r="B266"/>
    </row>
    <row r="267" spans="1:2" x14ac:dyDescent="0.25">
      <c r="A267"/>
      <c r="B267"/>
    </row>
    <row r="268" spans="1:2" x14ac:dyDescent="0.25">
      <c r="A268"/>
      <c r="B268"/>
    </row>
    <row r="269" spans="1:2" x14ac:dyDescent="0.25">
      <c r="A269"/>
      <c r="B269"/>
    </row>
    <row r="270" spans="1:2" x14ac:dyDescent="0.25">
      <c r="A270"/>
      <c r="B270"/>
    </row>
    <row r="271" spans="1:2" x14ac:dyDescent="0.25">
      <c r="A271"/>
      <c r="B271"/>
    </row>
    <row r="272" spans="1:2" x14ac:dyDescent="0.25">
      <c r="A272"/>
      <c r="B272"/>
    </row>
    <row r="273" spans="1:2" x14ac:dyDescent="0.25">
      <c r="A273"/>
      <c r="B273"/>
    </row>
    <row r="274" spans="1:2" x14ac:dyDescent="0.25">
      <c r="A274"/>
      <c r="B274"/>
    </row>
    <row r="275" spans="1:2" x14ac:dyDescent="0.25">
      <c r="A275"/>
      <c r="B275"/>
    </row>
    <row r="276" spans="1:2" x14ac:dyDescent="0.25">
      <c r="A276"/>
      <c r="B276"/>
    </row>
    <row r="277" spans="1:2" x14ac:dyDescent="0.25">
      <c r="A277"/>
      <c r="B277"/>
    </row>
    <row r="278" spans="1:2" x14ac:dyDescent="0.25">
      <c r="A278"/>
      <c r="B278"/>
    </row>
    <row r="279" spans="1:2" x14ac:dyDescent="0.25">
      <c r="A279"/>
      <c r="B279"/>
    </row>
    <row r="280" spans="1:2" x14ac:dyDescent="0.25">
      <c r="A280"/>
      <c r="B280"/>
    </row>
    <row r="281" spans="1:2" x14ac:dyDescent="0.25">
      <c r="A281"/>
      <c r="B281"/>
    </row>
    <row r="282" spans="1:2" x14ac:dyDescent="0.25">
      <c r="A282"/>
      <c r="B282"/>
    </row>
    <row r="283" spans="1:2" x14ac:dyDescent="0.25">
      <c r="A283"/>
      <c r="B283"/>
    </row>
    <row r="284" spans="1:2" x14ac:dyDescent="0.25">
      <c r="A284"/>
      <c r="B284"/>
    </row>
    <row r="285" spans="1:2" x14ac:dyDescent="0.25">
      <c r="A285"/>
      <c r="B285"/>
    </row>
    <row r="286" spans="1:2" x14ac:dyDescent="0.25">
      <c r="A286"/>
      <c r="B286"/>
    </row>
    <row r="287" spans="1:2" x14ac:dyDescent="0.25">
      <c r="A287"/>
      <c r="B287"/>
    </row>
    <row r="288" spans="1:2" x14ac:dyDescent="0.25">
      <c r="A288"/>
      <c r="B288"/>
    </row>
    <row r="289" spans="1:2" x14ac:dyDescent="0.25">
      <c r="A289"/>
      <c r="B289"/>
    </row>
    <row r="290" spans="1:2" x14ac:dyDescent="0.25">
      <c r="A290"/>
      <c r="B290"/>
    </row>
    <row r="291" spans="1:2" x14ac:dyDescent="0.25">
      <c r="A291"/>
      <c r="B291"/>
    </row>
    <row r="292" spans="1:2" x14ac:dyDescent="0.25">
      <c r="A292"/>
      <c r="B292"/>
    </row>
    <row r="293" spans="1:2" x14ac:dyDescent="0.25">
      <c r="A293"/>
      <c r="B293"/>
    </row>
    <row r="294" spans="1:2" x14ac:dyDescent="0.25">
      <c r="A294"/>
      <c r="B294"/>
    </row>
    <row r="295" spans="1:2" x14ac:dyDescent="0.25">
      <c r="A295"/>
      <c r="B295"/>
    </row>
    <row r="296" spans="1:2" x14ac:dyDescent="0.25">
      <c r="A296"/>
      <c r="B296"/>
    </row>
    <row r="297" spans="1:2" x14ac:dyDescent="0.25">
      <c r="A297"/>
      <c r="B297"/>
    </row>
    <row r="298" spans="1:2" x14ac:dyDescent="0.25">
      <c r="A298"/>
      <c r="B298"/>
    </row>
    <row r="299" spans="1:2" x14ac:dyDescent="0.25">
      <c r="A299"/>
      <c r="B299"/>
    </row>
  </sheetData>
  <mergeCells count="3">
    <mergeCell ref="A1:F2"/>
    <mergeCell ref="A27:E28"/>
    <mergeCell ref="A78:D79"/>
  </mergeCells>
  <pageMargins left="0.7" right="0.7" top="0.75" bottom="0.75" header="0.3" footer="0.3"/>
  <pageSetup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8C5B2-A7EF-45C9-833F-F78680ADBE59}">
  <dimension ref="A1:I8"/>
  <sheetViews>
    <sheetView workbookViewId="0"/>
  </sheetViews>
  <sheetFormatPr defaultRowHeight="15" x14ac:dyDescent="0.25"/>
  <cols>
    <col min="1" max="1" width="13.140625" bestFit="1" customWidth="1"/>
    <col min="2" max="2" width="17.42578125" bestFit="1" customWidth="1"/>
    <col min="3" max="3" width="12.28515625" bestFit="1" customWidth="1"/>
    <col min="4" max="4" width="13.42578125" bestFit="1" customWidth="1"/>
    <col min="5" max="5" width="11.5703125" bestFit="1" customWidth="1"/>
    <col min="6" max="6" width="17.7109375" bestFit="1" customWidth="1"/>
    <col min="7" max="7" width="10.28515625" bestFit="1" customWidth="1"/>
    <col min="8" max="8" width="16.85546875" bestFit="1" customWidth="1"/>
    <col min="9" max="13" width="13.140625" bestFit="1" customWidth="1"/>
    <col min="14" max="100" width="3" bestFit="1" customWidth="1"/>
    <col min="101" max="1000" width="4" bestFit="1" customWidth="1"/>
    <col min="1001" max="1001" width="5" bestFit="1" customWidth="1"/>
    <col min="1002" max="1002" width="7.28515625" bestFit="1" customWidth="1"/>
    <col min="1003" max="1003" width="12.28515625" bestFit="1" customWidth="1"/>
    <col min="1004" max="1011" width="2" bestFit="1" customWidth="1"/>
    <col min="1012" max="1101" width="3" bestFit="1" customWidth="1"/>
    <col min="1102" max="2001" width="4" bestFit="1" customWidth="1"/>
    <col min="2002" max="2002" width="5" bestFit="1" customWidth="1"/>
    <col min="2003" max="2003" width="7.28515625" bestFit="1" customWidth="1"/>
    <col min="2004" max="2004" width="9.42578125" bestFit="1" customWidth="1"/>
    <col min="2005" max="2012" width="2" bestFit="1" customWidth="1"/>
    <col min="2013" max="2102" width="3" bestFit="1" customWidth="1"/>
    <col min="2103" max="3002" width="4" bestFit="1" customWidth="1"/>
    <col min="3003" max="3003" width="5" bestFit="1" customWidth="1"/>
    <col min="3004" max="3004" width="7.28515625" bestFit="1" customWidth="1"/>
    <col min="3005" max="3005" width="15.7109375" bestFit="1" customWidth="1"/>
    <col min="3006" max="3013" width="2" bestFit="1" customWidth="1"/>
    <col min="3014" max="3103" width="3" bestFit="1" customWidth="1"/>
    <col min="3104" max="4003" width="4" bestFit="1" customWidth="1"/>
    <col min="4004" max="4004" width="5" bestFit="1" customWidth="1"/>
    <col min="4005" max="4005" width="7.28515625" bestFit="1" customWidth="1"/>
    <col min="4006" max="4006" width="17.42578125" bestFit="1" customWidth="1"/>
    <col min="4007" max="4014" width="2" bestFit="1" customWidth="1"/>
    <col min="4015" max="4104" width="3" bestFit="1" customWidth="1"/>
    <col min="4105" max="5004" width="4" bestFit="1" customWidth="1"/>
    <col min="5005" max="5005" width="5" bestFit="1" customWidth="1"/>
    <col min="5006" max="5006" width="7.28515625" bestFit="1" customWidth="1"/>
    <col min="5007" max="5007" width="12.28515625" bestFit="1" customWidth="1"/>
    <col min="5008" max="5013" width="5" bestFit="1" customWidth="1"/>
    <col min="5014" max="5014" width="4" bestFit="1" customWidth="1"/>
    <col min="5015" max="5026" width="5" bestFit="1" customWidth="1"/>
    <col min="5027" max="5029" width="4" bestFit="1" customWidth="1"/>
    <col min="5030" max="5036" width="5" bestFit="1" customWidth="1"/>
    <col min="5037" max="5038" width="4" bestFit="1" customWidth="1"/>
    <col min="5039" max="5049" width="5" bestFit="1" customWidth="1"/>
    <col min="5050" max="5050" width="4" bestFit="1" customWidth="1"/>
    <col min="5051" max="5054" width="5" bestFit="1" customWidth="1"/>
    <col min="5055" max="5055" width="4" bestFit="1" customWidth="1"/>
    <col min="5056" max="5062" width="5" bestFit="1" customWidth="1"/>
    <col min="5063" max="5063" width="4" bestFit="1" customWidth="1"/>
    <col min="5064" max="5070" width="5" bestFit="1" customWidth="1"/>
    <col min="5071" max="5072" width="4" bestFit="1" customWidth="1"/>
    <col min="5073" max="5090" width="5" bestFit="1" customWidth="1"/>
    <col min="5091" max="5091" width="4" bestFit="1" customWidth="1"/>
    <col min="5092" max="5097" width="5" bestFit="1" customWidth="1"/>
    <col min="5098" max="5099" width="4" bestFit="1" customWidth="1"/>
    <col min="5100" max="5103" width="5" bestFit="1" customWidth="1"/>
    <col min="5104" max="5104" width="4" bestFit="1" customWidth="1"/>
    <col min="5105" max="5105" width="5" bestFit="1" customWidth="1"/>
    <col min="5106" max="5106" width="4" bestFit="1" customWidth="1"/>
    <col min="5107" max="5111" width="5" bestFit="1" customWidth="1"/>
    <col min="5112" max="5114" width="4" bestFit="1" customWidth="1"/>
    <col min="5115" max="5118" width="5" bestFit="1" customWidth="1"/>
    <col min="5119" max="5119" width="4" bestFit="1" customWidth="1"/>
    <col min="5120" max="5120" width="5" bestFit="1" customWidth="1"/>
    <col min="5121" max="5121" width="4" bestFit="1" customWidth="1"/>
    <col min="5122" max="5130" width="5" bestFit="1" customWidth="1"/>
    <col min="5131" max="5131" width="4" bestFit="1" customWidth="1"/>
    <col min="5132" max="5140" width="5" bestFit="1" customWidth="1"/>
    <col min="5141" max="5141" width="4" bestFit="1" customWidth="1"/>
    <col min="5142" max="5143" width="5" bestFit="1" customWidth="1"/>
    <col min="5144" max="5148" width="4" bestFit="1" customWidth="1"/>
    <col min="5149" max="5149" width="5" bestFit="1" customWidth="1"/>
    <col min="5150" max="5153" width="4" bestFit="1" customWidth="1"/>
    <col min="5154" max="5154" width="5" bestFit="1" customWidth="1"/>
    <col min="5155" max="5162" width="4" bestFit="1" customWidth="1"/>
    <col min="5163" max="5178" width="5" bestFit="1" customWidth="1"/>
    <col min="5179" max="5183" width="4" bestFit="1" customWidth="1"/>
    <col min="5184" max="5190" width="5" bestFit="1" customWidth="1"/>
    <col min="5191" max="5195" width="4" bestFit="1" customWidth="1"/>
    <col min="5196" max="5197" width="5" bestFit="1" customWidth="1"/>
    <col min="5198" max="5198" width="4" bestFit="1" customWidth="1"/>
    <col min="5199" max="5199" width="5" bestFit="1" customWidth="1"/>
    <col min="5200" max="5200" width="4" bestFit="1" customWidth="1"/>
    <col min="5201" max="5204" width="5" bestFit="1" customWidth="1"/>
    <col min="5205" max="5205" width="4" bestFit="1" customWidth="1"/>
    <col min="5206" max="5207" width="5" bestFit="1" customWidth="1"/>
    <col min="5208" max="5208" width="4" bestFit="1" customWidth="1"/>
    <col min="5209" max="5219" width="5" bestFit="1" customWidth="1"/>
    <col min="5220" max="5221" width="4" bestFit="1" customWidth="1"/>
    <col min="5222" max="5227" width="5" bestFit="1" customWidth="1"/>
    <col min="5228" max="5234" width="4" bestFit="1" customWidth="1"/>
    <col min="5235" max="5247" width="5" bestFit="1" customWidth="1"/>
    <col min="5248" max="5252" width="4" bestFit="1" customWidth="1"/>
    <col min="5253" max="5270" width="5" bestFit="1" customWidth="1"/>
    <col min="5271" max="5272" width="4" bestFit="1" customWidth="1"/>
    <col min="5273" max="5273" width="5" bestFit="1" customWidth="1"/>
    <col min="5274" max="5275" width="4" bestFit="1" customWidth="1"/>
    <col min="5276" max="5276" width="5" bestFit="1" customWidth="1"/>
    <col min="5277" max="5278" width="4" bestFit="1" customWidth="1"/>
    <col min="5279" max="5294" width="5" bestFit="1" customWidth="1"/>
    <col min="5295" max="5296" width="4" bestFit="1" customWidth="1"/>
    <col min="5297" max="5300" width="5" bestFit="1" customWidth="1"/>
    <col min="5301" max="5302" width="4" bestFit="1" customWidth="1"/>
    <col min="5303" max="5308" width="5" bestFit="1" customWidth="1"/>
    <col min="5309" max="5314" width="4" bestFit="1" customWidth="1"/>
    <col min="5315" max="5318" width="5" bestFit="1" customWidth="1"/>
    <col min="5319" max="5319" width="4" bestFit="1" customWidth="1"/>
    <col min="5320" max="5324" width="5" bestFit="1" customWidth="1"/>
    <col min="5325" max="5325" width="4" bestFit="1" customWidth="1"/>
    <col min="5326" max="5341" width="5" bestFit="1" customWidth="1"/>
    <col min="5342" max="5342" width="4" bestFit="1" customWidth="1"/>
    <col min="5343" max="5344" width="5" bestFit="1" customWidth="1"/>
    <col min="5345" max="5345" width="4" bestFit="1" customWidth="1"/>
    <col min="5346" max="5348" width="5" bestFit="1" customWidth="1"/>
    <col min="5349" max="5349" width="4" bestFit="1" customWidth="1"/>
    <col min="5350" max="5352" width="5" bestFit="1" customWidth="1"/>
    <col min="5353" max="5354" width="4" bestFit="1" customWidth="1"/>
    <col min="5355" max="5372" width="5" bestFit="1" customWidth="1"/>
    <col min="5373" max="5373" width="4" bestFit="1" customWidth="1"/>
    <col min="5374" max="5376" width="5" bestFit="1" customWidth="1"/>
    <col min="5377" max="5380" width="4" bestFit="1" customWidth="1"/>
    <col min="5381" max="5393" width="5" bestFit="1" customWidth="1"/>
    <col min="5394" max="5396" width="4" bestFit="1" customWidth="1"/>
    <col min="5397" max="5402" width="5" bestFit="1" customWidth="1"/>
    <col min="5403" max="5404" width="4" bestFit="1" customWidth="1"/>
    <col min="5405" max="5425" width="5" bestFit="1" customWidth="1"/>
    <col min="5426" max="5429" width="4" bestFit="1" customWidth="1"/>
    <col min="5430" max="5435" width="5" bestFit="1" customWidth="1"/>
    <col min="5436" max="5437" width="4" bestFit="1" customWidth="1"/>
    <col min="5438" max="5449" width="5" bestFit="1" customWidth="1"/>
    <col min="5450" max="5450" width="4" bestFit="1" customWidth="1"/>
    <col min="5451" max="5451" width="5" bestFit="1" customWidth="1"/>
    <col min="5452" max="5452" width="4" bestFit="1" customWidth="1"/>
    <col min="5453" max="5453" width="5" bestFit="1" customWidth="1"/>
    <col min="5454" max="5455" width="4" bestFit="1" customWidth="1"/>
    <col min="5456" max="5468" width="5" bestFit="1" customWidth="1"/>
    <col min="5469" max="5472" width="4" bestFit="1" customWidth="1"/>
    <col min="5473" max="5474" width="5" bestFit="1" customWidth="1"/>
    <col min="5475" max="5476" width="4" bestFit="1" customWidth="1"/>
    <col min="5477" max="5481" width="5" bestFit="1" customWidth="1"/>
    <col min="5482" max="5482" width="4" bestFit="1" customWidth="1"/>
    <col min="5483" max="5498" width="5" bestFit="1" customWidth="1"/>
    <col min="5499" max="5499" width="4" bestFit="1" customWidth="1"/>
    <col min="5500" max="5516" width="5" bestFit="1" customWidth="1"/>
    <col min="5517" max="5517" width="4" bestFit="1" customWidth="1"/>
    <col min="5518" max="5527" width="5" bestFit="1" customWidth="1"/>
    <col min="5528" max="5529" width="4" bestFit="1" customWidth="1"/>
    <col min="5530" max="5540" width="5" bestFit="1" customWidth="1"/>
    <col min="5541" max="5542" width="4" bestFit="1" customWidth="1"/>
    <col min="5543" max="5562" width="5" bestFit="1" customWidth="1"/>
    <col min="5563" max="5563" width="4" bestFit="1" customWidth="1"/>
    <col min="5564" max="5567" width="5" bestFit="1" customWidth="1"/>
    <col min="5568" max="5568" width="4" bestFit="1" customWidth="1"/>
    <col min="5569" max="5570" width="5" bestFit="1" customWidth="1"/>
    <col min="5571" max="5572" width="4" bestFit="1" customWidth="1"/>
    <col min="5573" max="5580" width="5" bestFit="1" customWidth="1"/>
    <col min="5581" max="5582" width="4" bestFit="1" customWidth="1"/>
    <col min="5583" max="5592" width="5" bestFit="1" customWidth="1"/>
    <col min="5593" max="5593" width="4" bestFit="1" customWidth="1"/>
    <col min="5594" max="5595" width="5" bestFit="1" customWidth="1"/>
    <col min="5596" max="5597" width="4" bestFit="1" customWidth="1"/>
    <col min="5598" max="5601" width="5" bestFit="1" customWidth="1"/>
    <col min="5602" max="5605" width="4" bestFit="1" customWidth="1"/>
    <col min="5606" max="5615" width="5" bestFit="1" customWidth="1"/>
    <col min="5616" max="5616" width="4" bestFit="1" customWidth="1"/>
    <col min="5617" max="5627" width="5" bestFit="1" customWidth="1"/>
    <col min="5628" max="5628" width="4" bestFit="1" customWidth="1"/>
    <col min="5629" max="5635" width="5" bestFit="1" customWidth="1"/>
    <col min="5636" max="5636" width="4" bestFit="1" customWidth="1"/>
    <col min="5637" max="5658" width="5" bestFit="1" customWidth="1"/>
    <col min="5659" max="5659" width="4" bestFit="1" customWidth="1"/>
    <col min="5660" max="5661" width="5" bestFit="1" customWidth="1"/>
    <col min="5662" max="5664" width="4" bestFit="1" customWidth="1"/>
    <col min="5665" max="5674" width="5" bestFit="1" customWidth="1"/>
    <col min="5675" max="5675" width="4" bestFit="1" customWidth="1"/>
    <col min="5676" max="5689" width="5" bestFit="1" customWidth="1"/>
    <col min="5690" max="5690" width="4" bestFit="1" customWidth="1"/>
    <col min="5691" max="5705" width="5" bestFit="1" customWidth="1"/>
    <col min="5706" max="5707" width="4" bestFit="1" customWidth="1"/>
    <col min="5708" max="5716" width="5" bestFit="1" customWidth="1"/>
    <col min="5717" max="5717" width="4" bestFit="1" customWidth="1"/>
    <col min="5718" max="5740" width="5" bestFit="1" customWidth="1"/>
    <col min="5741" max="5743" width="4" bestFit="1" customWidth="1"/>
    <col min="5744" max="5752" width="5" bestFit="1" customWidth="1"/>
    <col min="5753" max="5754" width="4" bestFit="1" customWidth="1"/>
    <col min="5755" max="5757" width="5" bestFit="1" customWidth="1"/>
    <col min="5758" max="5761" width="4" bestFit="1" customWidth="1"/>
    <col min="5762" max="5763" width="5" bestFit="1" customWidth="1"/>
    <col min="5764" max="5765" width="4" bestFit="1" customWidth="1"/>
    <col min="5766" max="5773" width="5" bestFit="1" customWidth="1"/>
    <col min="5774" max="5774" width="4" bestFit="1" customWidth="1"/>
    <col min="5775" max="5779" width="5" bestFit="1" customWidth="1"/>
    <col min="5780" max="5780" width="4" bestFit="1" customWidth="1"/>
    <col min="5781" max="5792" width="5" bestFit="1" customWidth="1"/>
    <col min="5793" max="5794" width="4" bestFit="1" customWidth="1"/>
    <col min="5795" max="5795" width="5" bestFit="1" customWidth="1"/>
    <col min="5796" max="5798" width="4" bestFit="1" customWidth="1"/>
    <col min="5799" max="5807" width="5" bestFit="1" customWidth="1"/>
    <col min="5808" max="5808" width="4" bestFit="1" customWidth="1"/>
    <col min="5809" max="5821" width="5" bestFit="1" customWidth="1"/>
    <col min="5822" max="5822" width="4" bestFit="1" customWidth="1"/>
    <col min="5823" max="5829" width="5" bestFit="1" customWidth="1"/>
    <col min="5830" max="5830" width="4" bestFit="1" customWidth="1"/>
    <col min="5831" max="5837" width="5" bestFit="1" customWidth="1"/>
    <col min="5838" max="5841" width="4" bestFit="1" customWidth="1"/>
    <col min="5842" max="5846" width="5" bestFit="1" customWidth="1"/>
    <col min="5847" max="5847" width="4" bestFit="1" customWidth="1"/>
    <col min="5848" max="5858" width="5" bestFit="1" customWidth="1"/>
    <col min="5859" max="5859" width="4" bestFit="1" customWidth="1"/>
    <col min="5860" max="5877" width="5" bestFit="1" customWidth="1"/>
    <col min="5878" max="5878" width="4" bestFit="1" customWidth="1"/>
    <col min="5879" max="5883" width="5" bestFit="1" customWidth="1"/>
    <col min="5884" max="5885" width="4" bestFit="1" customWidth="1"/>
    <col min="5886" max="5890" width="5" bestFit="1" customWidth="1"/>
    <col min="5891" max="5891" width="4" bestFit="1" customWidth="1"/>
    <col min="5892" max="5896" width="5" bestFit="1" customWidth="1"/>
    <col min="5897" max="5900" width="4" bestFit="1" customWidth="1"/>
    <col min="5901" max="5912" width="5" bestFit="1" customWidth="1"/>
    <col min="5913" max="5914" width="4" bestFit="1" customWidth="1"/>
    <col min="5915" max="5919" width="5" bestFit="1" customWidth="1"/>
    <col min="5920" max="5922" width="4" bestFit="1" customWidth="1"/>
    <col min="5923" max="5929" width="5" bestFit="1" customWidth="1"/>
    <col min="5930" max="5932" width="4" bestFit="1" customWidth="1"/>
    <col min="5933" max="5933" width="5" bestFit="1" customWidth="1"/>
    <col min="5934" max="5934" width="4" bestFit="1" customWidth="1"/>
    <col min="5935" max="5935" width="5" bestFit="1" customWidth="1"/>
    <col min="5936" max="5936" width="4" bestFit="1" customWidth="1"/>
    <col min="5937" max="5941" width="5" bestFit="1" customWidth="1"/>
    <col min="5942" max="5942" width="4" bestFit="1" customWidth="1"/>
    <col min="5943" max="5943" width="5" bestFit="1" customWidth="1"/>
    <col min="5944" max="5945" width="4" bestFit="1" customWidth="1"/>
    <col min="5946" max="5948" width="5" bestFit="1" customWidth="1"/>
    <col min="5949" max="5950" width="4" bestFit="1" customWidth="1"/>
    <col min="5951" max="5962" width="5" bestFit="1" customWidth="1"/>
    <col min="5963" max="5965" width="4" bestFit="1" customWidth="1"/>
    <col min="5966" max="5975" width="5" bestFit="1" customWidth="1"/>
    <col min="5976" max="5981" width="4" bestFit="1" customWidth="1"/>
    <col min="5982" max="5984" width="5" bestFit="1" customWidth="1"/>
    <col min="5985" max="5985" width="4" bestFit="1" customWidth="1"/>
    <col min="5986" max="5988" width="5" bestFit="1" customWidth="1"/>
    <col min="5989" max="5990" width="4" bestFit="1" customWidth="1"/>
    <col min="5991" max="5992" width="5" bestFit="1" customWidth="1"/>
    <col min="5993" max="5998" width="4" bestFit="1" customWidth="1"/>
    <col min="5999" max="6006" width="5" bestFit="1" customWidth="1"/>
    <col min="6007" max="6007" width="7.28515625" bestFit="1" customWidth="1"/>
    <col min="6008" max="6008" width="13.42578125" bestFit="1" customWidth="1"/>
    <col min="6009" max="6015" width="7" bestFit="1" customWidth="1"/>
    <col min="6016" max="6016" width="2" bestFit="1" customWidth="1"/>
    <col min="6017" max="6024" width="7" bestFit="1" customWidth="1"/>
    <col min="6025" max="6025" width="3" bestFit="1" customWidth="1"/>
    <col min="6026" max="6030" width="7" bestFit="1" customWidth="1"/>
    <col min="6031" max="6031" width="3" bestFit="1" customWidth="1"/>
    <col min="6032" max="6035" width="7" bestFit="1" customWidth="1"/>
    <col min="6036" max="6036" width="3" bestFit="1" customWidth="1"/>
    <col min="6037" max="6039" width="7" bestFit="1" customWidth="1"/>
    <col min="6040" max="6040" width="3" bestFit="1" customWidth="1"/>
    <col min="6041" max="6044" width="7" bestFit="1" customWidth="1"/>
    <col min="6045" max="6045" width="3" bestFit="1" customWidth="1"/>
    <col min="6046" max="6050" width="7" bestFit="1" customWidth="1"/>
    <col min="6051" max="6051" width="3" bestFit="1" customWidth="1"/>
    <col min="6052" max="6054" width="7" bestFit="1" customWidth="1"/>
    <col min="6055" max="6055" width="6" bestFit="1" customWidth="1"/>
    <col min="6056" max="6056" width="3" bestFit="1" customWidth="1"/>
    <col min="6057" max="6065" width="7" bestFit="1" customWidth="1"/>
    <col min="6066" max="6066" width="3" bestFit="1" customWidth="1"/>
    <col min="6067" max="6072" width="7" bestFit="1" customWidth="1"/>
    <col min="6073" max="6073" width="3" bestFit="1" customWidth="1"/>
    <col min="6074" max="6074" width="6" bestFit="1" customWidth="1"/>
    <col min="6075" max="6076" width="7" bestFit="1" customWidth="1"/>
    <col min="6077" max="6077" width="3" bestFit="1" customWidth="1"/>
    <col min="6078" max="6100" width="7" bestFit="1" customWidth="1"/>
    <col min="6101" max="6102" width="6" bestFit="1" customWidth="1"/>
    <col min="6103" max="6104" width="7" bestFit="1" customWidth="1"/>
    <col min="6105" max="6105" width="6" bestFit="1" customWidth="1"/>
    <col min="6106" max="6107" width="7" bestFit="1" customWidth="1"/>
    <col min="6108" max="6109" width="6" bestFit="1" customWidth="1"/>
    <col min="6110" max="6119" width="7" bestFit="1" customWidth="1"/>
    <col min="6120" max="6121" width="6" bestFit="1" customWidth="1"/>
    <col min="6122" max="6125" width="7" bestFit="1" customWidth="1"/>
    <col min="6126" max="6126" width="6" bestFit="1" customWidth="1"/>
    <col min="6127" max="6144" width="7" bestFit="1" customWidth="1"/>
    <col min="6145" max="6148" width="6" bestFit="1" customWidth="1"/>
    <col min="6149" max="6152" width="7" bestFit="1" customWidth="1"/>
    <col min="6153" max="6153" width="6" bestFit="1" customWidth="1"/>
    <col min="6154" max="6154" width="7" bestFit="1" customWidth="1"/>
    <col min="6155" max="6157" width="6" bestFit="1" customWidth="1"/>
    <col min="6158" max="6158" width="7" bestFit="1" customWidth="1"/>
    <col min="6159" max="6159" width="6" bestFit="1" customWidth="1"/>
    <col min="6160" max="6163" width="7" bestFit="1" customWidth="1"/>
    <col min="6164" max="6164" width="6" bestFit="1" customWidth="1"/>
    <col min="6165" max="6165" width="7" bestFit="1" customWidth="1"/>
    <col min="6166" max="6169" width="6" bestFit="1" customWidth="1"/>
    <col min="6170" max="6171" width="7" bestFit="1" customWidth="1"/>
    <col min="6172" max="6173" width="6" bestFit="1" customWidth="1"/>
    <col min="6174" max="6178" width="7" bestFit="1" customWidth="1"/>
    <col min="6179" max="6179" width="6" bestFit="1" customWidth="1"/>
    <col min="6180" max="6207" width="7" bestFit="1" customWidth="1"/>
    <col min="6208" max="6208" width="6" bestFit="1" customWidth="1"/>
    <col min="6209" max="6230" width="7" bestFit="1" customWidth="1"/>
    <col min="6231" max="6232" width="6" bestFit="1" customWidth="1"/>
    <col min="6233" max="6234" width="7" bestFit="1" customWidth="1"/>
    <col min="6235" max="6235" width="6" bestFit="1" customWidth="1"/>
    <col min="6236" max="6247" width="7" bestFit="1" customWidth="1"/>
    <col min="6248" max="6248" width="6" bestFit="1" customWidth="1"/>
    <col min="6249" max="6253" width="7" bestFit="1" customWidth="1"/>
    <col min="6254" max="6254" width="6" bestFit="1" customWidth="1"/>
    <col min="6255" max="6259" width="7" bestFit="1" customWidth="1"/>
    <col min="6260" max="6260" width="6" bestFit="1" customWidth="1"/>
    <col min="6261" max="6261" width="7" bestFit="1" customWidth="1"/>
    <col min="6262" max="6263" width="6" bestFit="1" customWidth="1"/>
    <col min="6264" max="6273" width="7" bestFit="1" customWidth="1"/>
    <col min="6274" max="6274" width="6" bestFit="1" customWidth="1"/>
    <col min="6275" max="6276" width="7" bestFit="1" customWidth="1"/>
    <col min="6277" max="6277" width="6" bestFit="1" customWidth="1"/>
    <col min="6278" max="6297" width="7" bestFit="1" customWidth="1"/>
    <col min="6298" max="6299" width="6" bestFit="1" customWidth="1"/>
    <col min="6300" max="6319" width="7" bestFit="1" customWidth="1"/>
    <col min="6320" max="6321" width="6" bestFit="1" customWidth="1"/>
    <col min="6322" max="6326" width="7" bestFit="1" customWidth="1"/>
    <col min="6327" max="6327" width="6" bestFit="1" customWidth="1"/>
    <col min="6328" max="6332" width="7" bestFit="1" customWidth="1"/>
    <col min="6333" max="6334" width="6" bestFit="1" customWidth="1"/>
    <col min="6335" max="6341" width="7" bestFit="1" customWidth="1"/>
    <col min="6342" max="6343" width="6" bestFit="1" customWidth="1"/>
    <col min="6344" max="6348" width="7" bestFit="1" customWidth="1"/>
    <col min="6349" max="6349" width="6" bestFit="1" customWidth="1"/>
    <col min="6350" max="6350" width="7" bestFit="1" customWidth="1"/>
    <col min="6351" max="6353" width="6" bestFit="1" customWidth="1"/>
    <col min="6354" max="6355" width="7" bestFit="1" customWidth="1"/>
    <col min="6356" max="6356" width="6" bestFit="1" customWidth="1"/>
    <col min="6357" max="6374" width="7" bestFit="1" customWidth="1"/>
    <col min="6375" max="6377" width="6" bestFit="1" customWidth="1"/>
    <col min="6378" max="6379" width="7" bestFit="1" customWidth="1"/>
    <col min="6380" max="6381" width="6" bestFit="1" customWidth="1"/>
    <col min="6382" max="6383" width="7" bestFit="1" customWidth="1"/>
    <col min="6384" max="6385" width="6" bestFit="1" customWidth="1"/>
    <col min="6386" max="6391" width="7" bestFit="1" customWidth="1"/>
    <col min="6392" max="6393" width="6" bestFit="1" customWidth="1"/>
    <col min="6394" max="6396" width="7" bestFit="1" customWidth="1"/>
    <col min="6397" max="6397" width="6" bestFit="1" customWidth="1"/>
    <col min="6398" max="6404" width="7" bestFit="1" customWidth="1"/>
    <col min="6405" max="6405" width="6" bestFit="1" customWidth="1"/>
    <col min="6406" max="6425" width="7" bestFit="1" customWidth="1"/>
    <col min="6426" max="6426" width="6" bestFit="1" customWidth="1"/>
    <col min="6427" max="6434" width="7" bestFit="1" customWidth="1"/>
    <col min="6435" max="6435" width="6" bestFit="1" customWidth="1"/>
    <col min="6436" max="6436" width="7" bestFit="1" customWidth="1"/>
    <col min="6437" max="6437" width="6" bestFit="1" customWidth="1"/>
    <col min="6438" max="6452" width="7" bestFit="1" customWidth="1"/>
    <col min="6453" max="6453" width="6" bestFit="1" customWidth="1"/>
    <col min="6454" max="6454" width="7" bestFit="1" customWidth="1"/>
    <col min="6455" max="6455" width="6" bestFit="1" customWidth="1"/>
    <col min="6456" max="6467" width="7" bestFit="1" customWidth="1"/>
    <col min="6468" max="6468" width="6" bestFit="1" customWidth="1"/>
    <col min="6469" max="6487" width="7" bestFit="1" customWidth="1"/>
    <col min="6488" max="6488" width="4" bestFit="1" customWidth="1"/>
    <col min="6489" max="6493" width="7" bestFit="1" customWidth="1"/>
    <col min="6494" max="6494" width="4" bestFit="1" customWidth="1"/>
    <col min="6495" max="6502" width="7" bestFit="1" customWidth="1"/>
    <col min="6503" max="6503" width="6" bestFit="1" customWidth="1"/>
    <col min="6504" max="6587" width="7" bestFit="1" customWidth="1"/>
    <col min="6588" max="6591" width="6" bestFit="1" customWidth="1"/>
    <col min="6592" max="6592" width="7" bestFit="1" customWidth="1"/>
    <col min="6593" max="6593" width="6" bestFit="1" customWidth="1"/>
    <col min="6594" max="6601" width="7" bestFit="1" customWidth="1"/>
    <col min="6602" max="6602" width="6" bestFit="1" customWidth="1"/>
    <col min="6603" max="6607" width="7" bestFit="1" customWidth="1"/>
    <col min="6608" max="6610" width="6" bestFit="1" customWidth="1"/>
    <col min="6611" max="6625" width="7" bestFit="1" customWidth="1"/>
    <col min="6626" max="6626" width="6" bestFit="1" customWidth="1"/>
    <col min="6627" max="6632" width="7" bestFit="1" customWidth="1"/>
    <col min="6633" max="6633" width="6" bestFit="1" customWidth="1"/>
    <col min="6634" max="6635" width="7" bestFit="1" customWidth="1"/>
    <col min="6636" max="6637" width="6" bestFit="1" customWidth="1"/>
    <col min="6638" max="6646" width="7" bestFit="1" customWidth="1"/>
    <col min="6647" max="6648" width="6" bestFit="1" customWidth="1"/>
    <col min="6649" max="6661" width="7" bestFit="1" customWidth="1"/>
    <col min="6662" max="6662" width="6" bestFit="1" customWidth="1"/>
    <col min="6663" max="6675" width="7" bestFit="1" customWidth="1"/>
    <col min="6676" max="6676" width="6" bestFit="1" customWidth="1"/>
    <col min="6677" max="6685" width="7" bestFit="1" customWidth="1"/>
    <col min="6686" max="6686" width="6" bestFit="1" customWidth="1"/>
    <col min="6687" max="6692" width="7" bestFit="1" customWidth="1"/>
    <col min="6693" max="6693" width="6" bestFit="1" customWidth="1"/>
    <col min="6694" max="6694" width="7" bestFit="1" customWidth="1"/>
    <col min="6695" max="6695" width="6" bestFit="1" customWidth="1"/>
    <col min="6696" max="6717" width="7" bestFit="1" customWidth="1"/>
    <col min="6718" max="6718" width="6" bestFit="1" customWidth="1"/>
    <col min="6719" max="6738" width="7" bestFit="1" customWidth="1"/>
    <col min="6739" max="6740" width="6" bestFit="1" customWidth="1"/>
    <col min="6741" max="6755" width="7" bestFit="1" customWidth="1"/>
    <col min="6756" max="6757" width="6" bestFit="1" customWidth="1"/>
    <col min="6758" max="6758" width="7" bestFit="1" customWidth="1"/>
    <col min="6759" max="6759" width="6" bestFit="1" customWidth="1"/>
    <col min="6760" max="6823" width="7" bestFit="1" customWidth="1"/>
    <col min="6824" max="6824" width="6" bestFit="1" customWidth="1"/>
    <col min="6825" max="6830" width="7" bestFit="1" customWidth="1"/>
    <col min="6831" max="6831" width="6" bestFit="1" customWidth="1"/>
    <col min="6832" max="6833" width="7" bestFit="1" customWidth="1"/>
    <col min="6834" max="6835" width="6" bestFit="1" customWidth="1"/>
    <col min="6836" max="6858" width="7" bestFit="1" customWidth="1"/>
    <col min="6859" max="6859" width="6" bestFit="1" customWidth="1"/>
    <col min="6860" max="6867" width="7" bestFit="1" customWidth="1"/>
    <col min="6868" max="6870" width="6" bestFit="1" customWidth="1"/>
    <col min="6871" max="6872" width="7" bestFit="1" customWidth="1"/>
    <col min="6873" max="6876" width="6" bestFit="1" customWidth="1"/>
    <col min="6877" max="6899" width="7" bestFit="1" customWidth="1"/>
    <col min="6900" max="6901" width="6" bestFit="1" customWidth="1"/>
    <col min="6902" max="6921" width="7" bestFit="1" customWidth="1"/>
    <col min="6922" max="6922" width="6" bestFit="1" customWidth="1"/>
    <col min="6923" max="6928" width="7" bestFit="1" customWidth="1"/>
    <col min="6929" max="6929" width="6" bestFit="1" customWidth="1"/>
    <col min="6930" max="6947" width="7" bestFit="1" customWidth="1"/>
    <col min="6948" max="6948" width="6" bestFit="1" customWidth="1"/>
    <col min="6949" max="6952" width="7" bestFit="1" customWidth="1"/>
    <col min="6953" max="6953" width="6" bestFit="1" customWidth="1"/>
    <col min="6954" max="6955" width="7" bestFit="1" customWidth="1"/>
    <col min="6956" max="6956" width="6" bestFit="1" customWidth="1"/>
    <col min="6957" max="6967" width="7" bestFit="1" customWidth="1"/>
    <col min="6968" max="6969" width="6" bestFit="1" customWidth="1"/>
    <col min="6970" max="6973" width="7" bestFit="1" customWidth="1"/>
    <col min="6974" max="6974" width="6" bestFit="1" customWidth="1"/>
    <col min="6975" max="7003" width="7" bestFit="1" customWidth="1"/>
    <col min="7004" max="7007" width="6" bestFit="1" customWidth="1"/>
    <col min="7008" max="7008" width="12" bestFit="1" customWidth="1"/>
    <col min="7009" max="7009" width="11.5703125" bestFit="1" customWidth="1"/>
    <col min="7010" max="7011" width="4" bestFit="1" customWidth="1"/>
    <col min="7012" max="7014" width="5" bestFit="1" customWidth="1"/>
    <col min="7015" max="7015" width="4" bestFit="1" customWidth="1"/>
    <col min="7016" max="7034" width="5" bestFit="1" customWidth="1"/>
    <col min="7035" max="7035" width="3" bestFit="1" customWidth="1"/>
    <col min="7036" max="7059" width="5" bestFit="1" customWidth="1"/>
    <col min="7060" max="7062" width="4" bestFit="1" customWidth="1"/>
    <col min="7063" max="7064" width="5" bestFit="1" customWidth="1"/>
    <col min="7065" max="7065" width="4" bestFit="1" customWidth="1"/>
    <col min="7066" max="7067" width="5" bestFit="1" customWidth="1"/>
    <col min="7068" max="7071" width="4" bestFit="1" customWidth="1"/>
    <col min="7072" max="7107" width="5" bestFit="1" customWidth="1"/>
    <col min="7108" max="7108" width="4" bestFit="1" customWidth="1"/>
    <col min="7109" max="7112" width="5" bestFit="1" customWidth="1"/>
    <col min="7113" max="7113" width="4" bestFit="1" customWidth="1"/>
    <col min="7114" max="7156" width="5" bestFit="1" customWidth="1"/>
    <col min="7157" max="7157" width="4" bestFit="1" customWidth="1"/>
    <col min="7158" max="7159" width="5" bestFit="1" customWidth="1"/>
    <col min="7160" max="7160" width="4" bestFit="1" customWidth="1"/>
    <col min="7161" max="7163" width="5" bestFit="1" customWidth="1"/>
    <col min="7164" max="7164" width="4" bestFit="1" customWidth="1"/>
    <col min="7165" max="7179" width="5" bestFit="1" customWidth="1"/>
    <col min="7180" max="7180" width="4" bestFit="1" customWidth="1"/>
    <col min="7181" max="7204" width="5" bestFit="1" customWidth="1"/>
    <col min="7205" max="7205" width="4" bestFit="1" customWidth="1"/>
    <col min="7206" max="7211" width="5" bestFit="1" customWidth="1"/>
    <col min="7212" max="7212" width="4" bestFit="1" customWidth="1"/>
    <col min="7213" max="7216" width="5" bestFit="1" customWidth="1"/>
    <col min="7217" max="7221" width="4" bestFit="1" customWidth="1"/>
    <col min="7222" max="7223" width="5" bestFit="1" customWidth="1"/>
    <col min="7224" max="7228" width="4" bestFit="1" customWidth="1"/>
    <col min="7229" max="7229" width="5" bestFit="1" customWidth="1"/>
    <col min="7230" max="7236" width="4" bestFit="1" customWidth="1"/>
    <col min="7237" max="7237" width="5" bestFit="1" customWidth="1"/>
    <col min="7238" max="7238" width="4" bestFit="1" customWidth="1"/>
    <col min="7239" max="7254" width="5" bestFit="1" customWidth="1"/>
    <col min="7255" max="7255" width="4" bestFit="1" customWidth="1"/>
    <col min="7256" max="7281" width="5" bestFit="1" customWidth="1"/>
    <col min="7282" max="7282" width="4" bestFit="1" customWidth="1"/>
    <col min="7283" max="7286" width="5" bestFit="1" customWidth="1"/>
    <col min="7287" max="7291" width="4" bestFit="1" customWidth="1"/>
    <col min="7292" max="7293" width="5" bestFit="1" customWidth="1"/>
    <col min="7294" max="7296" width="4" bestFit="1" customWidth="1"/>
    <col min="7297" max="7302" width="5" bestFit="1" customWidth="1"/>
    <col min="7303" max="7304" width="4" bestFit="1" customWidth="1"/>
    <col min="7305" max="7308" width="5" bestFit="1" customWidth="1"/>
    <col min="7309" max="7310" width="4" bestFit="1" customWidth="1"/>
    <col min="7311" max="7374" width="5" bestFit="1" customWidth="1"/>
    <col min="7375" max="7375" width="4" bestFit="1" customWidth="1"/>
    <col min="7376" max="7379" width="5" bestFit="1" customWidth="1"/>
    <col min="7380" max="7380" width="4" bestFit="1" customWidth="1"/>
    <col min="7381" max="7387" width="5" bestFit="1" customWidth="1"/>
    <col min="7388" max="7388" width="4" bestFit="1" customWidth="1"/>
    <col min="7389" max="7390" width="5" bestFit="1" customWidth="1"/>
    <col min="7391" max="7391" width="4" bestFit="1" customWidth="1"/>
    <col min="7392" max="7400" width="5" bestFit="1" customWidth="1"/>
    <col min="7401" max="7402" width="4" bestFit="1" customWidth="1"/>
    <col min="7403" max="7406" width="5" bestFit="1" customWidth="1"/>
    <col min="7407" max="7407" width="4" bestFit="1" customWidth="1"/>
    <col min="7408" max="7410" width="5" bestFit="1" customWidth="1"/>
    <col min="7411" max="7412" width="4" bestFit="1" customWidth="1"/>
    <col min="7413" max="7444" width="5" bestFit="1" customWidth="1"/>
    <col min="7445" max="7446" width="4" bestFit="1" customWidth="1"/>
    <col min="7447" max="7459" width="5" bestFit="1" customWidth="1"/>
    <col min="7460" max="7461" width="4" bestFit="1" customWidth="1"/>
    <col min="7462" max="7463" width="5" bestFit="1" customWidth="1"/>
    <col min="7464" max="7465" width="4" bestFit="1" customWidth="1"/>
    <col min="7466" max="7466" width="5" bestFit="1" customWidth="1"/>
    <col min="7467" max="7467" width="4" bestFit="1" customWidth="1"/>
    <col min="7468" max="7468" width="5" bestFit="1" customWidth="1"/>
    <col min="7469" max="7469" width="4" bestFit="1" customWidth="1"/>
    <col min="7470" max="7481" width="5" bestFit="1" customWidth="1"/>
    <col min="7482" max="7483" width="4" bestFit="1" customWidth="1"/>
    <col min="7484" max="7527" width="5" bestFit="1" customWidth="1"/>
    <col min="7528" max="7529" width="4" bestFit="1" customWidth="1"/>
    <col min="7530" max="7547" width="5" bestFit="1" customWidth="1"/>
    <col min="7548" max="7548" width="4" bestFit="1" customWidth="1"/>
    <col min="7549" max="7549" width="5" bestFit="1" customWidth="1"/>
    <col min="7550" max="7550" width="4" bestFit="1" customWidth="1"/>
    <col min="7551" max="7565" width="5" bestFit="1" customWidth="1"/>
    <col min="7566" max="7567" width="4" bestFit="1" customWidth="1"/>
    <col min="7568" max="7602" width="5" bestFit="1" customWidth="1"/>
    <col min="7603" max="7603" width="4" bestFit="1" customWidth="1"/>
    <col min="7604" max="7607" width="5" bestFit="1" customWidth="1"/>
    <col min="7608" max="7609" width="4" bestFit="1" customWidth="1"/>
    <col min="7610" max="7616" width="5" bestFit="1" customWidth="1"/>
    <col min="7617" max="7617" width="4" bestFit="1" customWidth="1"/>
    <col min="7618" max="7618" width="5" bestFit="1" customWidth="1"/>
    <col min="7619" max="7619" width="4" bestFit="1" customWidth="1"/>
    <col min="7620" max="7622" width="5" bestFit="1" customWidth="1"/>
    <col min="7623" max="7623" width="4" bestFit="1" customWidth="1"/>
    <col min="7624" max="7625" width="5" bestFit="1" customWidth="1"/>
    <col min="7626" max="7626" width="4" bestFit="1" customWidth="1"/>
    <col min="7627" max="7639" width="5" bestFit="1" customWidth="1"/>
    <col min="7640" max="7640" width="4" bestFit="1" customWidth="1"/>
    <col min="7641" max="7641" width="5" bestFit="1" customWidth="1"/>
    <col min="7642" max="7643" width="4" bestFit="1" customWidth="1"/>
    <col min="7644" max="7647" width="5" bestFit="1" customWidth="1"/>
    <col min="7648" max="7652" width="4" bestFit="1" customWidth="1"/>
    <col min="7653" max="7657" width="5" bestFit="1" customWidth="1"/>
    <col min="7658" max="7659" width="4" bestFit="1" customWidth="1"/>
    <col min="7660" max="7669" width="5" bestFit="1" customWidth="1"/>
    <col min="7670" max="7671" width="4" bestFit="1" customWidth="1"/>
    <col min="7672" max="7709" width="5" bestFit="1" customWidth="1"/>
    <col min="7710" max="7710" width="4" bestFit="1" customWidth="1"/>
    <col min="7711" max="7729" width="5" bestFit="1" customWidth="1"/>
    <col min="7730" max="7730" width="4" bestFit="1" customWidth="1"/>
    <col min="7731" max="7743" width="5" bestFit="1" customWidth="1"/>
    <col min="7744" max="7744" width="4" bestFit="1" customWidth="1"/>
    <col min="7745" max="7747" width="5" bestFit="1" customWidth="1"/>
    <col min="7748" max="7748" width="4" bestFit="1" customWidth="1"/>
    <col min="7749" max="7749" width="5" bestFit="1" customWidth="1"/>
    <col min="7750" max="7751" width="4" bestFit="1" customWidth="1"/>
    <col min="7752" max="7754" width="5" bestFit="1" customWidth="1"/>
    <col min="7755" max="7756" width="4" bestFit="1" customWidth="1"/>
    <col min="7757" max="7759" width="5" bestFit="1" customWidth="1"/>
    <col min="7760" max="7762" width="4" bestFit="1" customWidth="1"/>
    <col min="7763" max="7774" width="5" bestFit="1" customWidth="1"/>
    <col min="7775" max="7775" width="4" bestFit="1" customWidth="1"/>
    <col min="7776" max="7778" width="5" bestFit="1" customWidth="1"/>
    <col min="7779" max="7779" width="4" bestFit="1" customWidth="1"/>
    <col min="7780" max="7783" width="5" bestFit="1" customWidth="1"/>
    <col min="7784" max="7784" width="4" bestFit="1" customWidth="1"/>
    <col min="7785" max="7786" width="5" bestFit="1" customWidth="1"/>
    <col min="7787" max="7787" width="4" bestFit="1" customWidth="1"/>
    <col min="7788" max="7788" width="5" bestFit="1" customWidth="1"/>
    <col min="7789" max="7790" width="4" bestFit="1" customWidth="1"/>
    <col min="7791" max="7794" width="5" bestFit="1" customWidth="1"/>
    <col min="7795" max="7796" width="4" bestFit="1" customWidth="1"/>
    <col min="7797" max="7797" width="5" bestFit="1" customWidth="1"/>
    <col min="7798" max="7807" width="4" bestFit="1" customWidth="1"/>
    <col min="7808" max="7810" width="5" bestFit="1" customWidth="1"/>
    <col min="7811" max="7811" width="4" bestFit="1" customWidth="1"/>
    <col min="7812" max="7813" width="5" bestFit="1" customWidth="1"/>
    <col min="7814" max="7814" width="4" bestFit="1" customWidth="1"/>
    <col min="7815" max="7815" width="5" bestFit="1" customWidth="1"/>
    <col min="7816" max="7820" width="4" bestFit="1" customWidth="1"/>
    <col min="7821" max="7834" width="5" bestFit="1" customWidth="1"/>
    <col min="7835" max="7836" width="4" bestFit="1" customWidth="1"/>
    <col min="7837" max="7839" width="5" bestFit="1" customWidth="1"/>
    <col min="7840" max="7840" width="4" bestFit="1" customWidth="1"/>
    <col min="7841" max="7845" width="5" bestFit="1" customWidth="1"/>
    <col min="7846" max="7847" width="4" bestFit="1" customWidth="1"/>
    <col min="7848" max="7854" width="5" bestFit="1" customWidth="1"/>
    <col min="7855" max="7855" width="4" bestFit="1" customWidth="1"/>
    <col min="7856" max="7856" width="5" bestFit="1" customWidth="1"/>
    <col min="7857" max="7859" width="4" bestFit="1" customWidth="1"/>
    <col min="7860" max="7867" width="5" bestFit="1" customWidth="1"/>
    <col min="7868" max="7868" width="4" bestFit="1" customWidth="1"/>
    <col min="7869" max="7880" width="5" bestFit="1" customWidth="1"/>
    <col min="7881" max="7882" width="4" bestFit="1" customWidth="1"/>
    <col min="7883" max="7896" width="5" bestFit="1" customWidth="1"/>
    <col min="7897" max="7898" width="4" bestFit="1" customWidth="1"/>
    <col min="7899" max="7906" width="5" bestFit="1" customWidth="1"/>
    <col min="7907" max="7908" width="4" bestFit="1" customWidth="1"/>
    <col min="7909" max="7909" width="5" bestFit="1" customWidth="1"/>
    <col min="7910" max="7911" width="4" bestFit="1" customWidth="1"/>
    <col min="7912" max="7912" width="5" bestFit="1" customWidth="1"/>
    <col min="7913" max="7913" width="4" bestFit="1" customWidth="1"/>
    <col min="7914" max="7914" width="5" bestFit="1" customWidth="1"/>
    <col min="7915" max="7915" width="4" bestFit="1" customWidth="1"/>
    <col min="7916" max="7955" width="5" bestFit="1" customWidth="1"/>
    <col min="7956" max="7957" width="4" bestFit="1" customWidth="1"/>
    <col min="7958" max="7960" width="5" bestFit="1" customWidth="1"/>
    <col min="7961" max="7961" width="4" bestFit="1" customWidth="1"/>
    <col min="7962" max="7985" width="5" bestFit="1" customWidth="1"/>
    <col min="7986" max="7986" width="4" bestFit="1" customWidth="1"/>
    <col min="7987" max="7990" width="5" bestFit="1" customWidth="1"/>
    <col min="7991" max="7992" width="4" bestFit="1" customWidth="1"/>
    <col min="7993" max="8002" width="5" bestFit="1" customWidth="1"/>
    <col min="8003" max="8003" width="4" bestFit="1" customWidth="1"/>
    <col min="8004" max="8008" width="5" bestFit="1" customWidth="1"/>
    <col min="8009" max="8009" width="8" bestFit="1" customWidth="1"/>
    <col min="8010" max="8010" width="17.7109375" bestFit="1" customWidth="1"/>
    <col min="8011" max="8014" width="8" bestFit="1" customWidth="1"/>
    <col min="8015" max="8015" width="7" bestFit="1" customWidth="1"/>
    <col min="8016" max="8016" width="8" bestFit="1" customWidth="1"/>
    <col min="8017" max="8017" width="7" bestFit="1" customWidth="1"/>
    <col min="8018" max="8018" width="5" bestFit="1" customWidth="1"/>
    <col min="8019" max="8019" width="8" bestFit="1" customWidth="1"/>
    <col min="8020" max="8030" width="7" bestFit="1" customWidth="1"/>
    <col min="8031" max="8031" width="6" bestFit="1" customWidth="1"/>
    <col min="8032" max="8036" width="7" bestFit="1" customWidth="1"/>
    <col min="8037" max="8038" width="6" bestFit="1" customWidth="1"/>
    <col min="8039" max="8039" width="7" bestFit="1" customWidth="1"/>
    <col min="8040" max="8040" width="6" bestFit="1" customWidth="1"/>
    <col min="8041" max="8046" width="7" bestFit="1" customWidth="1"/>
    <col min="8047" max="8047" width="6" bestFit="1" customWidth="1"/>
    <col min="8048" max="8049" width="7" bestFit="1" customWidth="1"/>
    <col min="8050" max="8050" width="6" bestFit="1" customWidth="1"/>
    <col min="8051" max="8061" width="7" bestFit="1" customWidth="1"/>
    <col min="8062" max="8062" width="6" bestFit="1" customWidth="1"/>
    <col min="8063" max="8090" width="7" bestFit="1" customWidth="1"/>
    <col min="8091" max="8091" width="6" bestFit="1" customWidth="1"/>
    <col min="8092" max="8095" width="7" bestFit="1" customWidth="1"/>
    <col min="8096" max="8096" width="6" bestFit="1" customWidth="1"/>
    <col min="8097" max="8098" width="7" bestFit="1" customWidth="1"/>
    <col min="8099" max="8099" width="8" bestFit="1" customWidth="1"/>
    <col min="8100" max="8107" width="7" bestFit="1" customWidth="1"/>
    <col min="8108" max="8108" width="6" bestFit="1" customWidth="1"/>
    <col min="8109" max="8114" width="7" bestFit="1" customWidth="1"/>
    <col min="8115" max="8116" width="6" bestFit="1" customWidth="1"/>
    <col min="8117" max="8117" width="7" bestFit="1" customWidth="1"/>
    <col min="8118" max="8118" width="6" bestFit="1" customWidth="1"/>
    <col min="8119" max="8121" width="7" bestFit="1" customWidth="1"/>
    <col min="8122" max="8122" width="6" bestFit="1" customWidth="1"/>
    <col min="8123" max="8125" width="7" bestFit="1" customWidth="1"/>
    <col min="8126" max="8127" width="8" bestFit="1" customWidth="1"/>
    <col min="8128" max="8130" width="7" bestFit="1" customWidth="1"/>
    <col min="8131" max="8132" width="8" bestFit="1" customWidth="1"/>
    <col min="8133" max="8135" width="7" bestFit="1" customWidth="1"/>
    <col min="8136" max="8136" width="8" bestFit="1" customWidth="1"/>
    <col min="8137" max="8138" width="7" bestFit="1" customWidth="1"/>
    <col min="8139" max="8139" width="8" bestFit="1" customWidth="1"/>
    <col min="8140" max="8146" width="7" bestFit="1" customWidth="1"/>
    <col min="8147" max="8148" width="6" bestFit="1" customWidth="1"/>
    <col min="8149" max="8151" width="7" bestFit="1" customWidth="1"/>
    <col min="8152" max="8152" width="8" bestFit="1" customWidth="1"/>
    <col min="8153" max="8198" width="7" bestFit="1" customWidth="1"/>
    <col min="8199" max="8200" width="6" bestFit="1" customWidth="1"/>
    <col min="8201" max="8201" width="7" bestFit="1" customWidth="1"/>
    <col min="8202" max="8202" width="6" bestFit="1" customWidth="1"/>
    <col min="8203" max="8217" width="7" bestFit="1" customWidth="1"/>
    <col min="8218" max="8218" width="6" bestFit="1" customWidth="1"/>
    <col min="8219" max="8239" width="7" bestFit="1" customWidth="1"/>
    <col min="8240" max="8240" width="6" bestFit="1" customWidth="1"/>
    <col min="8241" max="8244" width="7" bestFit="1" customWidth="1"/>
    <col min="8245" max="8245" width="6" bestFit="1" customWidth="1"/>
    <col min="8246" max="8247" width="7" bestFit="1" customWidth="1"/>
    <col min="8248" max="8248" width="8" bestFit="1" customWidth="1"/>
    <col min="8249" max="8259" width="7" bestFit="1" customWidth="1"/>
    <col min="8260" max="8260" width="8" bestFit="1" customWidth="1"/>
    <col min="8261" max="8261" width="6" bestFit="1" customWidth="1"/>
    <col min="8262" max="8294" width="7" bestFit="1" customWidth="1"/>
    <col min="8295" max="8295" width="6" bestFit="1" customWidth="1"/>
    <col min="8296" max="8309" width="7" bestFit="1" customWidth="1"/>
    <col min="8310" max="8311" width="6" bestFit="1" customWidth="1"/>
    <col min="8312" max="8317" width="7" bestFit="1" customWidth="1"/>
    <col min="8318" max="8318" width="8" bestFit="1" customWidth="1"/>
    <col min="8319" max="8319" width="7" bestFit="1" customWidth="1"/>
    <col min="8320" max="8320" width="6" bestFit="1" customWidth="1"/>
    <col min="8321" max="8330" width="7" bestFit="1" customWidth="1"/>
    <col min="8331" max="8332" width="8" bestFit="1" customWidth="1"/>
    <col min="8333" max="8336" width="7" bestFit="1" customWidth="1"/>
    <col min="8337" max="8339" width="8" bestFit="1" customWidth="1"/>
    <col min="8340" max="8340" width="7" bestFit="1" customWidth="1"/>
    <col min="8341" max="8341" width="8" bestFit="1" customWidth="1"/>
    <col min="8342" max="8348" width="7" bestFit="1" customWidth="1"/>
    <col min="8349" max="8350" width="6" bestFit="1" customWidth="1"/>
    <col min="8351" max="8360" width="7" bestFit="1" customWidth="1"/>
    <col min="8361" max="8361" width="8" bestFit="1" customWidth="1"/>
    <col min="8362" max="8382" width="7" bestFit="1" customWidth="1"/>
    <col min="8383" max="8383" width="6" bestFit="1" customWidth="1"/>
    <col min="8384" max="8384" width="7" bestFit="1" customWidth="1"/>
    <col min="8385" max="8385" width="6" bestFit="1" customWidth="1"/>
    <col min="8386" max="8387" width="7" bestFit="1" customWidth="1"/>
    <col min="8388" max="8388" width="6" bestFit="1" customWidth="1"/>
    <col min="8389" max="8392" width="7" bestFit="1" customWidth="1"/>
    <col min="8393" max="8393" width="6" bestFit="1" customWidth="1"/>
    <col min="8394" max="8398" width="7" bestFit="1" customWidth="1"/>
    <col min="8399" max="8399" width="6" bestFit="1" customWidth="1"/>
    <col min="8400" max="8400" width="7" bestFit="1" customWidth="1"/>
    <col min="8401" max="8403" width="6" bestFit="1" customWidth="1"/>
    <col min="8404" max="8409" width="7" bestFit="1" customWidth="1"/>
    <col min="8410" max="8411" width="6" bestFit="1" customWidth="1"/>
    <col min="8412" max="8413" width="7" bestFit="1" customWidth="1"/>
    <col min="8414" max="8414" width="8" bestFit="1" customWidth="1"/>
    <col min="8415" max="8416" width="7" bestFit="1" customWidth="1"/>
    <col min="8417" max="8418" width="8" bestFit="1" customWidth="1"/>
    <col min="8419" max="8441" width="7" bestFit="1" customWidth="1"/>
    <col min="8442" max="8443" width="8" bestFit="1" customWidth="1"/>
    <col min="8444" max="8452" width="7" bestFit="1" customWidth="1"/>
    <col min="8453" max="8453" width="8" bestFit="1" customWidth="1"/>
    <col min="8454" max="8455" width="7" bestFit="1" customWidth="1"/>
    <col min="8456" max="8456" width="6" bestFit="1" customWidth="1"/>
    <col min="8457" max="8458" width="7" bestFit="1" customWidth="1"/>
    <col min="8459" max="8459" width="6" bestFit="1" customWidth="1"/>
    <col min="8460" max="8500" width="7" bestFit="1" customWidth="1"/>
    <col min="8501" max="8501" width="8" bestFit="1" customWidth="1"/>
    <col min="8502" max="8502" width="7" bestFit="1" customWidth="1"/>
    <col min="8503" max="8503" width="8" bestFit="1" customWidth="1"/>
    <col min="8504" max="8504" width="6" bestFit="1" customWidth="1"/>
    <col min="8505" max="8505" width="7" bestFit="1" customWidth="1"/>
    <col min="8506" max="8506" width="6" bestFit="1" customWidth="1"/>
    <col min="8507" max="8509" width="7" bestFit="1" customWidth="1"/>
    <col min="8510" max="8510" width="8" bestFit="1" customWidth="1"/>
    <col min="8511" max="8531" width="7" bestFit="1" customWidth="1"/>
    <col min="8532" max="8533" width="6" bestFit="1" customWidth="1"/>
    <col min="8534" max="8534" width="7" bestFit="1" customWidth="1"/>
    <col min="8535" max="8536" width="6" bestFit="1" customWidth="1"/>
    <col min="8537" max="8542" width="7" bestFit="1" customWidth="1"/>
    <col min="8543" max="8543" width="8" bestFit="1" customWidth="1"/>
    <col min="8544" max="8545" width="7" bestFit="1" customWidth="1"/>
    <col min="8546" max="8546" width="6" bestFit="1" customWidth="1"/>
    <col min="8547" max="8551" width="7" bestFit="1" customWidth="1"/>
    <col min="8552" max="8552" width="6" bestFit="1" customWidth="1"/>
    <col min="8553" max="8553" width="7" bestFit="1" customWidth="1"/>
    <col min="8554" max="8554" width="6" bestFit="1" customWidth="1"/>
    <col min="8555" max="8570" width="7" bestFit="1" customWidth="1"/>
    <col min="8571" max="8574" width="8" bestFit="1" customWidth="1"/>
    <col min="8575" max="8576" width="7" bestFit="1" customWidth="1"/>
    <col min="8577" max="8578" width="6" bestFit="1" customWidth="1"/>
    <col min="8579" max="8582" width="7" bestFit="1" customWidth="1"/>
    <col min="8583" max="8583" width="6" bestFit="1" customWidth="1"/>
    <col min="8584" max="8596" width="7" bestFit="1" customWidth="1"/>
    <col min="8597" max="8597" width="6" bestFit="1" customWidth="1"/>
    <col min="8598" max="8617" width="7" bestFit="1" customWidth="1"/>
    <col min="8618" max="8618" width="8" bestFit="1" customWidth="1"/>
    <col min="8619" max="8619" width="7" bestFit="1" customWidth="1"/>
    <col min="8620" max="8620" width="8" bestFit="1" customWidth="1"/>
    <col min="8621" max="8621" width="7" bestFit="1" customWidth="1"/>
    <col min="8622" max="8622" width="6" bestFit="1" customWidth="1"/>
    <col min="8623" max="8623" width="7" bestFit="1" customWidth="1"/>
    <col min="8624" max="8624" width="6" bestFit="1" customWidth="1"/>
    <col min="8625" max="8628" width="7" bestFit="1" customWidth="1"/>
    <col min="8629" max="8629" width="6" bestFit="1" customWidth="1"/>
    <col min="8630" max="8638" width="7" bestFit="1" customWidth="1"/>
    <col min="8639" max="8639" width="6" bestFit="1" customWidth="1"/>
    <col min="8640" max="8643" width="7" bestFit="1" customWidth="1"/>
    <col min="8644" max="8644" width="8" bestFit="1" customWidth="1"/>
    <col min="8645" max="8651" width="7" bestFit="1" customWidth="1"/>
    <col min="8652" max="8659" width="8" bestFit="1" customWidth="1"/>
    <col min="8660" max="8660" width="7" bestFit="1" customWidth="1"/>
    <col min="8661" max="8661" width="8" bestFit="1" customWidth="1"/>
    <col min="8662" max="8664" width="7" bestFit="1" customWidth="1"/>
    <col min="8665" max="8666" width="8" bestFit="1" customWidth="1"/>
    <col min="8667" max="8667" width="6" bestFit="1" customWidth="1"/>
    <col min="8668" max="8668" width="7" bestFit="1" customWidth="1"/>
    <col min="8669" max="8669" width="6" bestFit="1" customWidth="1"/>
    <col min="8670" max="8671" width="7" bestFit="1" customWidth="1"/>
    <col min="8672" max="8672" width="6" bestFit="1" customWidth="1"/>
    <col min="8673" max="8675" width="7" bestFit="1" customWidth="1"/>
    <col min="8676" max="8677" width="6" bestFit="1" customWidth="1"/>
    <col min="8678" max="8683" width="7" bestFit="1" customWidth="1"/>
    <col min="8684" max="8685" width="6" bestFit="1" customWidth="1"/>
    <col min="8686" max="8686" width="7" bestFit="1" customWidth="1"/>
    <col min="8687" max="8687" width="8" bestFit="1" customWidth="1"/>
    <col min="8688" max="8689" width="7" bestFit="1" customWidth="1"/>
    <col min="8690" max="8691" width="6" bestFit="1" customWidth="1"/>
    <col min="8692" max="8699" width="7" bestFit="1" customWidth="1"/>
    <col min="8700" max="8707" width="8" bestFit="1" customWidth="1"/>
    <col min="8708" max="8711" width="7" bestFit="1" customWidth="1"/>
    <col min="8712" max="8712" width="8" bestFit="1" customWidth="1"/>
    <col min="8713" max="8713" width="7" bestFit="1" customWidth="1"/>
    <col min="8714" max="8714" width="8" bestFit="1" customWidth="1"/>
    <col min="8715" max="8719" width="7" bestFit="1" customWidth="1"/>
    <col min="8720" max="8720" width="6" bestFit="1" customWidth="1"/>
    <col min="8721" max="8721" width="7" bestFit="1" customWidth="1"/>
    <col min="8722" max="8722" width="6" bestFit="1" customWidth="1"/>
    <col min="8723" max="8730" width="7" bestFit="1" customWidth="1"/>
    <col min="8731" max="8731" width="8" bestFit="1" customWidth="1"/>
    <col min="8732" max="8732" width="6" bestFit="1" customWidth="1"/>
    <col min="8733" max="8760" width="7" bestFit="1" customWidth="1"/>
    <col min="8761" max="8761" width="6" bestFit="1" customWidth="1"/>
    <col min="8762" max="8768" width="7" bestFit="1" customWidth="1"/>
    <col min="8769" max="8769" width="8" bestFit="1" customWidth="1"/>
    <col min="8770" max="8772" width="7" bestFit="1" customWidth="1"/>
    <col min="8773" max="8774" width="8" bestFit="1" customWidth="1"/>
    <col min="8775" max="8804" width="7" bestFit="1" customWidth="1"/>
    <col min="8805" max="8806" width="8" bestFit="1" customWidth="1"/>
    <col min="8807" max="8811" width="7" bestFit="1" customWidth="1"/>
    <col min="8812" max="8812" width="6" bestFit="1" customWidth="1"/>
    <col min="8813" max="8814" width="7" bestFit="1" customWidth="1"/>
    <col min="8815" max="8815" width="6" bestFit="1" customWidth="1"/>
    <col min="8816" max="8826" width="7" bestFit="1" customWidth="1"/>
    <col min="8827" max="8827" width="8" bestFit="1" customWidth="1"/>
    <col min="8828" max="8837" width="7" bestFit="1" customWidth="1"/>
    <col min="8838" max="8840" width="8" bestFit="1" customWidth="1"/>
    <col min="8841" max="8846" width="7" bestFit="1" customWidth="1"/>
    <col min="8847" max="8848" width="8" bestFit="1" customWidth="1"/>
    <col min="8849" max="8850" width="7" bestFit="1" customWidth="1"/>
    <col min="8851" max="8851" width="8" bestFit="1" customWidth="1"/>
    <col min="8852" max="8857" width="7" bestFit="1" customWidth="1"/>
    <col min="8858" max="8858" width="8" bestFit="1" customWidth="1"/>
    <col min="8859" max="8859" width="7" bestFit="1" customWidth="1"/>
    <col min="8860" max="8860" width="8" bestFit="1" customWidth="1"/>
    <col min="8861" max="8861" width="7" bestFit="1" customWidth="1"/>
    <col min="8862" max="8862" width="8" bestFit="1" customWidth="1"/>
    <col min="8863" max="8891" width="7" bestFit="1" customWidth="1"/>
    <col min="8892" max="8892" width="8" bestFit="1" customWidth="1"/>
    <col min="8893" max="8908" width="7" bestFit="1" customWidth="1"/>
    <col min="8909" max="8910" width="6" bestFit="1" customWidth="1"/>
    <col min="8911" max="8925" width="7" bestFit="1" customWidth="1"/>
    <col min="8926" max="8926" width="6" bestFit="1" customWidth="1"/>
    <col min="8927" max="8929" width="7" bestFit="1" customWidth="1"/>
    <col min="8930" max="8930" width="8" bestFit="1" customWidth="1"/>
    <col min="8931" max="8937" width="7" bestFit="1" customWidth="1"/>
    <col min="8938" max="8938" width="8" bestFit="1" customWidth="1"/>
    <col min="8939" max="8940" width="7" bestFit="1" customWidth="1"/>
    <col min="8941" max="8941" width="6" bestFit="1" customWidth="1"/>
    <col min="8942" max="8943" width="7" bestFit="1" customWidth="1"/>
    <col min="8944" max="8944" width="6" bestFit="1" customWidth="1"/>
    <col min="8945" max="8946" width="7" bestFit="1" customWidth="1"/>
    <col min="8947" max="8947" width="6" bestFit="1" customWidth="1"/>
    <col min="8948" max="8948" width="8" bestFit="1" customWidth="1"/>
    <col min="8949" max="8955" width="7" bestFit="1" customWidth="1"/>
    <col min="8956" max="8957" width="8" bestFit="1" customWidth="1"/>
    <col min="8958" max="8960" width="7" bestFit="1" customWidth="1"/>
    <col min="8961" max="8961" width="6" bestFit="1" customWidth="1"/>
    <col min="8962" max="8984" width="7" bestFit="1" customWidth="1"/>
    <col min="8985" max="8985" width="8" bestFit="1" customWidth="1"/>
    <col min="8986" max="8986" width="6" bestFit="1" customWidth="1"/>
    <col min="8987" max="9009" width="7" bestFit="1" customWidth="1"/>
    <col min="9010" max="9010" width="11" bestFit="1" customWidth="1"/>
    <col min="9011" max="9011" width="10.28515625" bestFit="1" customWidth="1"/>
    <col min="9012" max="9014" width="3" bestFit="1" customWidth="1"/>
    <col min="9015" max="9019" width="2" bestFit="1" customWidth="1"/>
    <col min="9020" max="9024" width="3" bestFit="1" customWidth="1"/>
    <col min="9025" max="9026" width="4" bestFit="1" customWidth="1"/>
    <col min="9027" max="9063" width="3" bestFit="1" customWidth="1"/>
    <col min="9064" max="9064" width="4" bestFit="1" customWidth="1"/>
    <col min="9065" max="9072" width="3" bestFit="1" customWidth="1"/>
    <col min="9073" max="9075" width="4" bestFit="1" customWidth="1"/>
    <col min="9076" max="9086" width="3" bestFit="1" customWidth="1"/>
    <col min="9087" max="9088" width="4" bestFit="1" customWidth="1"/>
    <col min="9089" max="9095" width="3" bestFit="1" customWidth="1"/>
    <col min="9096" max="9098" width="4" bestFit="1" customWidth="1"/>
    <col min="9099" max="9109" width="3" bestFit="1" customWidth="1"/>
    <col min="9110" max="10009" width="4" bestFit="1" customWidth="1"/>
    <col min="10010" max="10010" width="5" bestFit="1" customWidth="1"/>
    <col min="10011" max="10011" width="7.28515625" bestFit="1" customWidth="1"/>
    <col min="10012" max="10012" width="16.85546875" bestFit="1" customWidth="1"/>
    <col min="10013" max="10015" width="3" bestFit="1" customWidth="1"/>
    <col min="10016" max="10020" width="2" bestFit="1" customWidth="1"/>
    <col min="10021" max="10064" width="3" bestFit="1" customWidth="1"/>
    <col min="10065" max="10065" width="4" bestFit="1" customWidth="1"/>
    <col min="10066" max="10073" width="3" bestFit="1" customWidth="1"/>
    <col min="10074" max="10076" width="4" bestFit="1" customWidth="1"/>
    <col min="10077" max="10087" width="3" bestFit="1" customWidth="1"/>
    <col min="10088" max="10088" width="4" bestFit="1" customWidth="1"/>
    <col min="10089" max="10096" width="3" bestFit="1" customWidth="1"/>
    <col min="10097" max="10099" width="4" bestFit="1" customWidth="1"/>
    <col min="10100" max="10110" width="3" bestFit="1" customWidth="1"/>
    <col min="10111" max="11010" width="4" bestFit="1" customWidth="1"/>
    <col min="11011" max="11011" width="5" bestFit="1" customWidth="1"/>
    <col min="11012" max="11012" width="7.28515625" bestFit="1" customWidth="1"/>
    <col min="11013" max="11013" width="13.140625" bestFit="1" customWidth="1"/>
    <col min="11014" max="11021" width="2" bestFit="1" customWidth="1"/>
    <col min="11022" max="11111" width="3" bestFit="1" customWidth="1"/>
    <col min="11112" max="12011" width="4" bestFit="1" customWidth="1"/>
    <col min="12012" max="12012" width="5" bestFit="1" customWidth="1"/>
    <col min="12013" max="12013" width="7.28515625" bestFit="1" customWidth="1"/>
    <col min="12014" max="12014" width="18.85546875" bestFit="1" customWidth="1"/>
    <col min="12015" max="12015" width="17.42578125" bestFit="1" customWidth="1"/>
    <col min="12016" max="12016" width="14.42578125" bestFit="1" customWidth="1"/>
    <col min="12017" max="12017" width="20.7109375" bestFit="1" customWidth="1"/>
    <col min="12018" max="12018" width="22.42578125" bestFit="1" customWidth="1"/>
    <col min="12019" max="12019" width="17.42578125" bestFit="1" customWidth="1"/>
    <col min="12020" max="12020" width="18.42578125" bestFit="1" customWidth="1"/>
    <col min="12021" max="12021" width="16.5703125" bestFit="1" customWidth="1"/>
    <col min="12022" max="12022" width="22.7109375" bestFit="1" customWidth="1"/>
    <col min="12023" max="12023" width="15.28515625" bestFit="1" customWidth="1"/>
    <col min="12024" max="12024" width="22" bestFit="1" customWidth="1"/>
    <col min="12025" max="12025" width="18.140625" bestFit="1" customWidth="1"/>
  </cols>
  <sheetData>
    <row r="1" spans="1:9" x14ac:dyDescent="0.25">
      <c r="A1" s="3" t="s">
        <v>3</v>
      </c>
      <c r="B1" t="s">
        <v>18</v>
      </c>
    </row>
    <row r="2" spans="1:9" x14ac:dyDescent="0.25">
      <c r="A2" s="3" t="s">
        <v>4</v>
      </c>
      <c r="B2" t="s">
        <v>18</v>
      </c>
    </row>
    <row r="3" spans="1:9" x14ac:dyDescent="0.25">
      <c r="A3" s="3" t="s">
        <v>6</v>
      </c>
      <c r="B3" s="4">
        <v>6</v>
      </c>
    </row>
    <row r="5" spans="1:9" x14ac:dyDescent="0.25">
      <c r="A5" s="3" t="s">
        <v>16</v>
      </c>
      <c r="B5" t="s">
        <v>75</v>
      </c>
      <c r="C5" t="s">
        <v>76</v>
      </c>
      <c r="D5" t="s">
        <v>20</v>
      </c>
      <c r="E5" t="s">
        <v>72</v>
      </c>
      <c r="F5" t="s">
        <v>77</v>
      </c>
      <c r="G5" t="s">
        <v>21</v>
      </c>
      <c r="H5" t="s">
        <v>24</v>
      </c>
      <c r="I5" t="s">
        <v>23</v>
      </c>
    </row>
    <row r="6" spans="1:9" x14ac:dyDescent="0.25">
      <c r="A6" s="4" t="s">
        <v>25</v>
      </c>
      <c r="B6" s="1">
        <v>175</v>
      </c>
      <c r="C6" s="1">
        <v>23.700000000000003</v>
      </c>
      <c r="D6" s="1">
        <v>24.091499999999986</v>
      </c>
      <c r="E6" s="1">
        <v>68.360000000000014</v>
      </c>
      <c r="F6" s="1">
        <v>30.319450000000018</v>
      </c>
      <c r="G6" s="1">
        <v>5271</v>
      </c>
      <c r="H6" s="1">
        <v>4434</v>
      </c>
      <c r="I6" s="1">
        <v>837</v>
      </c>
    </row>
    <row r="7" spans="1:9" x14ac:dyDescent="0.25">
      <c r="A7" s="4" t="s">
        <v>56</v>
      </c>
      <c r="B7" s="1">
        <v>81</v>
      </c>
      <c r="C7" s="1">
        <v>10.939999999999998</v>
      </c>
      <c r="D7" s="1">
        <v>11.424299999999997</v>
      </c>
      <c r="E7" s="1">
        <v>35.36</v>
      </c>
      <c r="F7" s="1">
        <v>12.545299999999996</v>
      </c>
      <c r="G7" s="1">
        <v>2477</v>
      </c>
      <c r="H7" s="1">
        <v>2089</v>
      </c>
      <c r="I7" s="1">
        <v>388</v>
      </c>
    </row>
    <row r="8" spans="1:9" x14ac:dyDescent="0.25">
      <c r="A8" s="4" t="s">
        <v>17</v>
      </c>
      <c r="B8" s="1">
        <v>256</v>
      </c>
      <c r="C8" s="1">
        <v>34.64</v>
      </c>
      <c r="D8" s="1">
        <v>35.515799999999984</v>
      </c>
      <c r="E8" s="1">
        <v>103.72000000000001</v>
      </c>
      <c r="F8" s="1">
        <v>42.864750000000015</v>
      </c>
      <c r="G8" s="1">
        <v>7748</v>
      </c>
      <c r="H8" s="1">
        <v>6523</v>
      </c>
      <c r="I8" s="1">
        <v>1225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776D3-AD0B-4E3B-B22F-1B642DA435DD}">
  <dimension ref="A1"/>
  <sheetViews>
    <sheetView workbookViewId="0">
      <selection activeCell="S3" sqref="S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98BDB77-BEE6-4620-A1F3-B313166B781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PIVOT CHARTS</vt:lpstr>
      <vt:lpstr>DETAILED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Neetha</dc:creator>
  <cp:lastModifiedBy>Neetha</cp:lastModifiedBy>
  <dcterms:created xsi:type="dcterms:W3CDTF">2026-01-18T09:05:02Z</dcterms:created>
  <dcterms:modified xsi:type="dcterms:W3CDTF">2026-01-18T15:28:13Z</dcterms:modified>
</cp:coreProperties>
</file>